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BS" sheetId="1" state="visible" r:id="rId1"/>
    <sheet name="Effort Summary" sheetId="2" state="visible" r:id="rId2"/>
  </sheets>
  <definedNames>
    <definedName name="_xlnm.Print_Titles" localSheetId="0">'WBS'!$1:$1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=1]0&quot; hour&quot;;0&quot; hours&quot;"/>
    <numFmt numFmtId="165" formatCode="0.0"/>
  </numFmts>
  <fonts count="14">
    <font>
      <name val="Arial"/>
      <color rgb="FF000000"/>
      <sz val="10"/>
      <scheme val="minor"/>
    </font>
    <font>
      <name val="Arial"/>
      <color theme="1"/>
    </font>
    <font>
      <name val="Arial"/>
      <b val="1"/>
      <color rgb="FFFFFFFF"/>
      <sz val="12"/>
    </font>
    <font>
      <name val="Arial"/>
      <b val="1"/>
      <color theme="1"/>
      <sz val="11"/>
    </font>
    <font>
      <name val="Arial"/>
      <b val="1"/>
      <color rgb="FFFFFFFF"/>
    </font>
    <font/>
    <font>
      <name val="Arial"/>
      <b val="1"/>
      <i val="1"/>
      <color theme="1"/>
    </font>
    <font>
      <name val="Arial"/>
      <b val="1"/>
      <sz val="11"/>
    </font>
    <font>
      <name val="Arial"/>
      <sz val="10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i val="1"/>
      <sz val="10"/>
    </font>
    <font>
      <name val="Arial"/>
      <b val="1"/>
      <sz val="12"/>
    </font>
    <font>
      <name val="Arial"/>
      <color rgb="FF0000FF"/>
      <sz val="10"/>
    </font>
  </fonts>
  <fills count="3">
    <fill>
      <patternFill/>
    </fill>
    <fill>
      <patternFill patternType="lightGray"/>
    </fill>
    <fill>
      <patternFill patternType="solid">
        <fgColor rgb="FF969696"/>
        <bgColor rgb="FF96969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4" fillId="2" borderId="2" applyAlignment="1" pivotButton="0" quotePrefix="0" xfId="0">
      <alignment horizontal="right" vertical="bottom"/>
    </xf>
    <xf numFmtId="0" fontId="5" fillId="0" borderId="3" pivotButton="0" quotePrefix="0" xfId="0"/>
    <xf numFmtId="0" fontId="5" fillId="0" borderId="4" pivotButton="0" quotePrefix="0" xfId="0"/>
    <xf numFmtId="0" fontId="1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0" fontId="0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9" fillId="2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8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vertical="center" wrapText="1"/>
    </xf>
    <xf numFmtId="164" fontId="10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164" fontId="8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vertical="center"/>
    </xf>
    <xf numFmtId="1" fontId="8" fillId="0" borderId="1" applyAlignment="1" pivotButton="0" quotePrefix="0" xfId="0">
      <alignment vertical="center"/>
    </xf>
    <xf numFmtId="1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165" fontId="13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9" fontId="10" fillId="0" borderId="1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E24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0"/>
  <cols>
    <col width="9" customWidth="1" style="13" min="1" max="1"/>
    <col width="92" customWidth="1" style="13" min="2" max="2"/>
    <col width="12" customWidth="1" style="13" min="3" max="3"/>
    <col width="15" customWidth="1" style="13" min="4" max="4"/>
    <col width="15" customWidth="1" style="13" min="5" max="5"/>
  </cols>
  <sheetData>
    <row r="1">
      <c r="A1" s="1" t="n"/>
      <c r="B1" s="2" t="inlineStr">
        <is>
          <t>Task Description</t>
        </is>
      </c>
      <c r="C1" s="2" t="inlineStr">
        <is>
          <t>Deliverable</t>
        </is>
      </c>
      <c r="D1" s="2" t="inlineStr">
        <is>
          <t>Estimated Time</t>
        </is>
      </c>
      <c r="E1" s="2" t="inlineStr">
        <is>
          <t>Resources</t>
        </is>
      </c>
    </row>
    <row r="2">
      <c r="A2" s="14" t="n">
        <v>1</v>
      </c>
      <c r="B2" s="15" t="inlineStr">
        <is>
          <t>Program Registration &amp; Attendance Data Hub</t>
        </is>
      </c>
      <c r="C2" s="16" t="inlineStr">
        <is>
          <t>Yes</t>
        </is>
      </c>
      <c r="D2" s="17">
        <f>D4+D10+D17+D22+D29+D34+D39+D44+D49+D51+D56+D64+D69+D73+D80+D84+D88+D92+D96+D101+D104+D107+D113+D120+D126+D131+D133+D136+D143+D149+D153+D160+D165+D170+D175+D178+D182+D186+D190+D192+D196+D201+D206+D209+D212+D220+D224+D230+D241</f>
        <v>410</v>
      </c>
      <c r="E2" s="18" t="n"/>
    </row>
    <row r="3">
      <c r="A3" s="19" t="inlineStr">
        <is>
          <t>Sprint 0: Initiation and Planning  |  Sep 24 – Oct 19 (Weeks 1–4)  |  Complete</t>
        </is>
      </c>
      <c r="B3" s="20" t="n"/>
      <c r="C3" s="20" t="n"/>
      <c r="D3" s="20" t="n"/>
      <c r="E3" s="21" t="n"/>
    </row>
    <row r="4">
      <c r="A4" s="22" t="inlineStr">
        <is>
          <t>1.1</t>
        </is>
      </c>
      <c r="B4" s="23" t="inlineStr">
        <is>
          <t>SWE 277P Assignment 1: Team Statement (due Oct 6)</t>
        </is>
      </c>
      <c r="C4" s="18" t="inlineStr">
        <is>
          <t>Yes</t>
        </is>
      </c>
      <c r="D4" s="24">
        <f>SUM(D5:D9)</f>
        <v>15</v>
      </c>
      <c r="E4" s="18" t="n"/>
    </row>
    <row r="5">
      <c r="A5" s="18" t="inlineStr">
        <is>
          <t>1.1.1</t>
        </is>
      </c>
      <c r="B5" s="25" t="inlineStr">
        <is>
          <t>Write the project description</t>
        </is>
      </c>
      <c r="C5" s="18" t="inlineStr">
        <is>
          <t>No</t>
        </is>
      </c>
      <c r="D5" s="26" t="n">
        <v>2</v>
      </c>
      <c r="E5" s="18" t="inlineStr">
        <is>
          <t>Jennifer Sun</t>
        </is>
      </c>
    </row>
    <row r="6">
      <c r="A6" s="18" t="inlineStr">
        <is>
          <t>1.1.2</t>
        </is>
      </c>
      <c r="B6" s="25" t="inlineStr">
        <is>
          <t>Initial team plan: strengths, sponsor questions, learning list</t>
        </is>
      </c>
      <c r="C6" s="18" t="inlineStr">
        <is>
          <t>No</t>
        </is>
      </c>
      <c r="D6" s="26" t="n">
        <v>2</v>
      </c>
      <c r="E6" s="18" t="inlineStr">
        <is>
          <t>Molly Tran</t>
        </is>
      </c>
    </row>
    <row r="7">
      <c r="A7" s="18" t="inlineStr">
        <is>
          <t>1.1.3</t>
        </is>
      </c>
      <c r="B7" s="25" t="inlineStr">
        <is>
          <t>Team ground rules</t>
        </is>
      </c>
      <c r="C7" s="18" t="inlineStr">
        <is>
          <t>No</t>
        </is>
      </c>
      <c r="D7" s="26" t="n">
        <v>2</v>
      </c>
      <c r="E7" s="18" t="inlineStr">
        <is>
          <t>Brandon Lau</t>
        </is>
      </c>
    </row>
    <row r="8">
      <c r="A8" s="18" t="inlineStr">
        <is>
          <t>1.1.4</t>
        </is>
      </c>
      <c r="B8" s="25" t="inlineStr">
        <is>
          <t>Create the shared Google Drive folder and share it with the instructor and TA</t>
        </is>
      </c>
      <c r="C8" s="18" t="inlineStr">
        <is>
          <t>No</t>
        </is>
      </c>
      <c r="D8" s="26" t="n">
        <v>1</v>
      </c>
      <c r="E8" s="18" t="inlineStr">
        <is>
          <t>Zhenyu Song</t>
        </is>
      </c>
    </row>
    <row r="9">
      <c r="A9" s="18" t="inlineStr">
        <is>
          <t>1.1.5</t>
        </is>
      </c>
      <c r="B9" s="25" t="inlineStr">
        <is>
          <t>Team bonding dinner (Oct 6)</t>
        </is>
      </c>
      <c r="C9" s="18" t="inlineStr">
        <is>
          <t>No</t>
        </is>
      </c>
      <c r="D9" s="26" t="n">
        <v>8</v>
      </c>
      <c r="E9" s="18" t="inlineStr">
        <is>
          <t>All team</t>
        </is>
      </c>
    </row>
    <row r="10">
      <c r="A10" s="22" t="inlineStr">
        <is>
          <t>1.2</t>
        </is>
      </c>
      <c r="B10" s="23" t="inlineStr">
        <is>
          <t>Sponsor kickoff and requirements</t>
        </is>
      </c>
      <c r="C10" s="18" t="inlineStr">
        <is>
          <t>No</t>
        </is>
      </c>
      <c r="D10" s="24">
        <f>SUM(D11:D16)</f>
        <v>18</v>
      </c>
      <c r="E10" s="18" t="n"/>
    </row>
    <row r="11">
      <c r="A11" s="18" t="inlineStr">
        <is>
          <t>1.2.1</t>
        </is>
      </c>
      <c r="B11" s="25" t="inlineStr">
        <is>
          <t>Read the sponsor proposal and the sample exports</t>
        </is>
      </c>
      <c r="C11" s="18" t="inlineStr">
        <is>
          <t>No</t>
        </is>
      </c>
      <c r="D11" s="26" t="n">
        <v>3</v>
      </c>
      <c r="E11" s="18" t="inlineStr">
        <is>
          <t>Jennifer Sun</t>
        </is>
      </c>
    </row>
    <row r="12">
      <c r="A12" s="18" t="inlineStr">
        <is>
          <t>1.2.2</t>
        </is>
      </c>
      <c r="B12" s="25" t="inlineStr">
        <is>
          <t>Prepare questions for the first sponsor meeting</t>
        </is>
      </c>
      <c r="C12" s="18" t="inlineStr">
        <is>
          <t>No</t>
        </is>
      </c>
      <c r="D12" s="26" t="n">
        <v>2</v>
      </c>
      <c r="E12" s="18" t="inlineStr">
        <is>
          <t>Molly Tran</t>
        </is>
      </c>
    </row>
    <row r="13">
      <c r="A13" s="18" t="inlineStr">
        <is>
          <t>1.2.3</t>
        </is>
      </c>
      <c r="B13" s="25" t="inlineStr">
        <is>
          <t>Sponsor meeting Oct 7: current process and sample data</t>
        </is>
      </c>
      <c r="C13" s="18" t="inlineStr">
        <is>
          <t>No</t>
        </is>
      </c>
      <c r="D13" s="26" t="n">
        <v>4</v>
      </c>
      <c r="E13" s="18" t="inlineStr">
        <is>
          <t>All team</t>
        </is>
      </c>
    </row>
    <row r="14">
      <c r="A14" s="18" t="inlineStr">
        <is>
          <t>1.2.4</t>
        </is>
      </c>
      <c r="B14" s="25" t="inlineStr">
        <is>
          <t>Sponsor meeting Oct 14: scope narrowed to import, one dataset and queries</t>
        </is>
      </c>
      <c r="C14" s="18" t="inlineStr">
        <is>
          <t>No</t>
        </is>
      </c>
      <c r="D14" s="26" t="n">
        <v>4</v>
      </c>
      <c r="E14" s="18" t="inlineStr">
        <is>
          <t>All team</t>
        </is>
      </c>
    </row>
    <row r="15">
      <c r="A15" s="18" t="inlineStr">
        <is>
          <t>1.2.5</t>
        </is>
      </c>
      <c r="B15" s="25" t="inlineStr">
        <is>
          <t>Write up meeting notes and action items</t>
        </is>
      </c>
      <c r="C15" s="18" t="inlineStr">
        <is>
          <t>No</t>
        </is>
      </c>
      <c r="D15" s="26" t="n">
        <v>2</v>
      </c>
      <c r="E15" s="18" t="inlineStr">
        <is>
          <t>Molly Tran</t>
        </is>
      </c>
    </row>
    <row r="16">
      <c r="A16" s="18" t="inlineStr">
        <is>
          <t>1.2.6</t>
        </is>
      </c>
      <c r="B16" s="25" t="inlineStr">
        <is>
          <t>Map the GPSRC data process and the Data Project template columns</t>
        </is>
      </c>
      <c r="C16" s="18" t="inlineStr">
        <is>
          <t>No</t>
        </is>
      </c>
      <c r="D16" s="26" t="n">
        <v>3</v>
      </c>
      <c r="E16" s="18" t="inlineStr">
        <is>
          <t>Molly Tran</t>
        </is>
      </c>
    </row>
    <row r="17">
      <c r="A17" s="22" t="inlineStr">
        <is>
          <t>1.3</t>
        </is>
      </c>
      <c r="B17" s="23" t="inlineStr">
        <is>
          <t>SWE 277P Assignment 2: MOV (due Oct 13)</t>
        </is>
      </c>
      <c r="C17" s="18" t="inlineStr">
        <is>
          <t>Yes</t>
        </is>
      </c>
      <c r="D17" s="24">
        <f>SUM(D18:D21)</f>
        <v>6</v>
      </c>
      <c r="E17" s="18" t="n"/>
    </row>
    <row r="18">
      <c r="A18" s="18" t="inlineStr">
        <is>
          <t>1.3.1</t>
        </is>
      </c>
      <c r="B18" s="25" t="inlineStr">
        <is>
          <t>Six-step MOV draft: impact, value, metric, time frame</t>
        </is>
      </c>
      <c r="C18" s="18" t="inlineStr">
        <is>
          <t>No</t>
        </is>
      </c>
      <c r="D18" s="26" t="n">
        <v>2</v>
      </c>
      <c r="E18" s="18" t="inlineStr">
        <is>
          <t>Molly Tran</t>
        </is>
      </c>
    </row>
    <row r="19">
      <c r="A19" s="18" t="inlineStr">
        <is>
          <t>1.3.2</t>
        </is>
      </c>
      <c r="B19" s="25" t="inlineStr">
        <is>
          <t>Explain how the MOV supports GPSRC's vision and mission</t>
        </is>
      </c>
      <c r="C19" s="18" t="inlineStr">
        <is>
          <t>No</t>
        </is>
      </c>
      <c r="D19" s="26" t="n">
        <v>2</v>
      </c>
      <c r="E19" s="18" t="inlineStr">
        <is>
          <t>Jennifer Sun</t>
        </is>
      </c>
    </row>
    <row r="20">
      <c r="A20" s="18" t="inlineStr">
        <is>
          <t>1.3.3</t>
        </is>
      </c>
      <c r="B20" s="25" t="inlineStr">
        <is>
          <t>Discuss the MOV with the sponsor and record the outcome</t>
        </is>
      </c>
      <c r="C20" s="18" t="inlineStr">
        <is>
          <t>No</t>
        </is>
      </c>
      <c r="D20" s="26" t="n">
        <v>1</v>
      </c>
      <c r="E20" s="18" t="inlineStr">
        <is>
          <t>Molly Tran</t>
        </is>
      </c>
    </row>
    <row r="21">
      <c r="A21" s="18" t="inlineStr">
        <is>
          <t>1.3.4</t>
        </is>
      </c>
      <c r="B21" s="25" t="inlineStr">
        <is>
          <t>Review and submit</t>
        </is>
      </c>
      <c r="C21" s="18" t="inlineStr">
        <is>
          <t>No</t>
        </is>
      </c>
      <c r="D21" s="26" t="n">
        <v>1</v>
      </c>
      <c r="E21" s="18" t="inlineStr">
        <is>
          <t>Brandon Lau</t>
        </is>
      </c>
    </row>
    <row r="22">
      <c r="A22" s="22" t="inlineStr">
        <is>
          <t>1.4</t>
        </is>
      </c>
      <c r="B22" s="23" t="inlineStr">
        <is>
          <t>SWE 276P: Project Scope and High-Level Design report (due Oct 16)</t>
        </is>
      </c>
      <c r="C22" s="18" t="inlineStr">
        <is>
          <t>Yes</t>
        </is>
      </c>
      <c r="D22" s="24">
        <f>SUM(D23:D28)</f>
        <v>18</v>
      </c>
      <c r="E22" s="18" t="n"/>
    </row>
    <row r="23">
      <c r="A23" s="18" t="inlineStr">
        <is>
          <t>1.4.1</t>
        </is>
      </c>
      <c r="B23" s="25" t="inlineStr">
        <is>
          <t>Project overview, target users and stakeholders</t>
        </is>
      </c>
      <c r="C23" s="18" t="inlineStr">
        <is>
          <t>No</t>
        </is>
      </c>
      <c r="D23" s="26" t="n">
        <v>2</v>
      </c>
      <c r="E23" s="18" t="inlineStr">
        <is>
          <t>Jennifer Sun</t>
        </is>
      </c>
    </row>
    <row r="24">
      <c r="A24" s="18" t="inlineStr">
        <is>
          <t>1.4.2</t>
        </is>
      </c>
      <c r="B24" s="25" t="inlineStr">
        <is>
          <t>Scope definition: boundaries, P0/P1/P2 features, assumptions</t>
        </is>
      </c>
      <c r="C24" s="18" t="inlineStr">
        <is>
          <t>No</t>
        </is>
      </c>
      <c r="D24" s="26" t="n">
        <v>4</v>
      </c>
      <c r="E24" s="18" t="inlineStr">
        <is>
          <t>Zhenyu Song</t>
        </is>
      </c>
    </row>
    <row r="25">
      <c r="A25" s="18" t="inlineStr">
        <is>
          <t>1.4.3</t>
        </is>
      </c>
      <c r="B25" s="25" t="inlineStr">
        <is>
          <t>C4 context, container and component diagrams</t>
        </is>
      </c>
      <c r="C25" s="18" t="inlineStr">
        <is>
          <t>No</t>
        </is>
      </c>
      <c r="D25" s="26" t="n">
        <v>4</v>
      </c>
      <c r="E25" s="18" t="inlineStr">
        <is>
          <t>Zhenyu Song</t>
        </is>
      </c>
    </row>
    <row r="26">
      <c r="A26" s="18" t="inlineStr">
        <is>
          <t>1.4.4</t>
        </is>
      </c>
      <c r="B26" s="25" t="inlineStr">
        <is>
          <t>Data model and import sequence diagrams</t>
        </is>
      </c>
      <c r="C26" s="18" t="inlineStr">
        <is>
          <t>No</t>
        </is>
      </c>
      <c r="D26" s="26" t="n">
        <v>3</v>
      </c>
      <c r="E26" s="18" t="inlineStr">
        <is>
          <t>Brandon Lau</t>
        </is>
      </c>
    </row>
    <row r="27">
      <c r="A27" s="18" t="inlineStr">
        <is>
          <t>1.4.5</t>
        </is>
      </c>
      <c r="B27" s="25" t="inlineStr">
        <is>
          <t>Technology stack and design rationale</t>
        </is>
      </c>
      <c r="C27" s="18" t="inlineStr">
        <is>
          <t>No</t>
        </is>
      </c>
      <c r="D27" s="26" t="n">
        <v>3</v>
      </c>
      <c r="E27" s="18" t="inlineStr">
        <is>
          <t>Zhenyu Song</t>
        </is>
      </c>
    </row>
    <row r="28">
      <c r="A28" s="18" t="inlineStr">
        <is>
          <t>1.4.6</t>
        </is>
      </c>
      <c r="B28" s="25" t="inlineStr">
        <is>
          <t>Edit, format as PDF and submit</t>
        </is>
      </c>
      <c r="C28" s="18" t="inlineStr">
        <is>
          <t>No</t>
        </is>
      </c>
      <c r="D28" s="26" t="n">
        <v>2</v>
      </c>
      <c r="E28" s="18" t="inlineStr">
        <is>
          <t>Molly Tran</t>
        </is>
      </c>
    </row>
    <row r="29">
      <c r="A29" s="22" t="inlineStr">
        <is>
          <t>1.5</t>
        </is>
      </c>
      <c r="B29" s="23" t="inlineStr">
        <is>
          <t>Technology ramp-up</t>
        </is>
      </c>
      <c r="C29" s="18" t="inlineStr">
        <is>
          <t>No</t>
        </is>
      </c>
      <c r="D29" s="24">
        <f>SUM(D30:D33)</f>
        <v>12</v>
      </c>
      <c r="E29" s="18" t="n"/>
    </row>
    <row r="30">
      <c r="A30" s="18" t="inlineStr">
        <is>
          <t>1.5.1</t>
        </is>
      </c>
      <c r="B30" s="25" t="inlineStr">
        <is>
          <t>PostgreSQL, Alembic, Docker Compose and nginx</t>
        </is>
      </c>
      <c r="C30" s="18" t="inlineStr">
        <is>
          <t>No</t>
        </is>
      </c>
      <c r="D30" s="26" t="n">
        <v>3</v>
      </c>
      <c r="E30" s="18" t="inlineStr">
        <is>
          <t>Brandon Lau</t>
        </is>
      </c>
    </row>
    <row r="31">
      <c r="A31" s="18" t="inlineStr">
        <is>
          <t>1.5.2</t>
        </is>
      </c>
      <c r="B31" s="25" t="inlineStr">
        <is>
          <t>React, MUI and TanStack Query</t>
        </is>
      </c>
      <c r="C31" s="18" t="inlineStr">
        <is>
          <t>No</t>
        </is>
      </c>
      <c r="D31" s="26" t="n">
        <v>3</v>
      </c>
      <c r="E31" s="18" t="inlineStr">
        <is>
          <t>Jennifer Sun</t>
        </is>
      </c>
    </row>
    <row r="32">
      <c r="A32" s="18" t="inlineStr">
        <is>
          <t>1.5.3</t>
        </is>
      </c>
      <c r="B32" s="25" t="inlineStr">
        <is>
          <t>LangGraph, text-to-SQL and the LLM provider APIs</t>
        </is>
      </c>
      <c r="C32" s="18" t="inlineStr">
        <is>
          <t>No</t>
        </is>
      </c>
      <c r="D32" s="26" t="n">
        <v>3</v>
      </c>
      <c r="E32" s="18" t="inlineStr">
        <is>
          <t>Zhenyu Song</t>
        </is>
      </c>
    </row>
    <row r="33">
      <c r="A33" s="18" t="inlineStr">
        <is>
          <t>1.5.4</t>
        </is>
      </c>
      <c r="B33" s="25" t="inlineStr">
        <is>
          <t>FastAPI and reading CSV and Excel exports</t>
        </is>
      </c>
      <c r="C33" s="18" t="inlineStr">
        <is>
          <t>No</t>
        </is>
      </c>
      <c r="D33" s="26" t="n">
        <v>3</v>
      </c>
      <c r="E33" s="18" t="inlineStr">
        <is>
          <t>Molly Tran</t>
        </is>
      </c>
    </row>
    <row r="34">
      <c r="A34" s="22" t="inlineStr">
        <is>
          <t>1.6</t>
        </is>
      </c>
      <c r="B34" s="23" t="inlineStr">
        <is>
          <t>SWE 277P Assignment 3: Business Case (due Oct 20)</t>
        </is>
      </c>
      <c r="C34" s="18" t="inlineStr">
        <is>
          <t>Yes</t>
        </is>
      </c>
      <c r="D34" s="24">
        <f>SUM(D35:D38)</f>
        <v>8</v>
      </c>
      <c r="E34" s="18" t="n"/>
    </row>
    <row r="35">
      <c r="A35" s="18" t="inlineStr">
        <is>
          <t>1.6.1</t>
        </is>
      </c>
      <c r="B35" s="25" t="inlineStr">
        <is>
          <t>Executive summary and introduction</t>
        </is>
      </c>
      <c r="C35" s="18" t="inlineStr">
        <is>
          <t>No</t>
        </is>
      </c>
      <c r="D35" s="26" t="n">
        <v>2</v>
      </c>
      <c r="E35" s="18" t="inlineStr">
        <is>
          <t>Brandon Lau</t>
        </is>
      </c>
    </row>
    <row r="36">
      <c r="A36" s="18" t="inlineStr">
        <is>
          <t>1.6.2</t>
        </is>
      </c>
      <c r="B36" s="25" t="inlineStr">
        <is>
          <t>Alternatives and their analysis (TCO, TBO, feasibility, risk)</t>
        </is>
      </c>
      <c r="C36" s="18" t="inlineStr">
        <is>
          <t>No</t>
        </is>
      </c>
      <c r="D36" s="26" t="n">
        <v>3</v>
      </c>
      <c r="E36" s="18" t="inlineStr">
        <is>
          <t>Jennifer Sun</t>
        </is>
      </c>
    </row>
    <row r="37">
      <c r="A37" s="18" t="inlineStr">
        <is>
          <t>1.6.3</t>
        </is>
      </c>
      <c r="B37" s="25" t="inlineStr">
        <is>
          <t>Scoring model and recommendation</t>
        </is>
      </c>
      <c r="C37" s="18" t="inlineStr">
        <is>
          <t>No</t>
        </is>
      </c>
      <c r="D37" s="26" t="n">
        <v>2</v>
      </c>
      <c r="E37" s="18" t="inlineStr">
        <is>
          <t>Molly Tran</t>
        </is>
      </c>
    </row>
    <row r="38">
      <c r="A38" s="18" t="inlineStr">
        <is>
          <t>1.6.4</t>
        </is>
      </c>
      <c r="B38" s="25" t="inlineStr">
        <is>
          <t>Final consistency check and submit</t>
        </is>
      </c>
      <c r="C38" s="18" t="inlineStr">
        <is>
          <t>No</t>
        </is>
      </c>
      <c r="D38" s="26" t="n">
        <v>1</v>
      </c>
      <c r="E38" s="18" t="inlineStr">
        <is>
          <t>Zhenyu Song</t>
        </is>
      </c>
    </row>
    <row r="39">
      <c r="A39" s="22" t="inlineStr">
        <is>
          <t>1.7</t>
        </is>
      </c>
      <c r="B39" s="23" t="inlineStr">
        <is>
          <t>SWE 277P Assignment 4: Project Charter (due Oct 20)</t>
        </is>
      </c>
      <c r="C39" s="18" t="inlineStr">
        <is>
          <t>Yes</t>
        </is>
      </c>
      <c r="D39" s="24">
        <f>SUM(D40:D43)</f>
        <v>7</v>
      </c>
      <c r="E39" s="18" t="n"/>
    </row>
    <row r="40">
      <c r="A40" s="18" t="inlineStr">
        <is>
          <t>1.7.1</t>
        </is>
      </c>
      <c r="B40" s="25" t="inlineStr">
        <is>
          <t>Stakeholder table, project description and MOV</t>
        </is>
      </c>
      <c r="C40" s="18" t="inlineStr">
        <is>
          <t>No</t>
        </is>
      </c>
      <c r="D40" s="26" t="n">
        <v>2</v>
      </c>
      <c r="E40" s="18" t="inlineStr">
        <is>
          <t>Brandon Lau</t>
        </is>
      </c>
    </row>
    <row r="41">
      <c r="A41" s="18" t="inlineStr">
        <is>
          <t>1.7.2</t>
        </is>
      </c>
      <c r="B41" s="25" t="inlineStr">
        <is>
          <t>Scope and schedule summary</t>
        </is>
      </c>
      <c r="C41" s="18" t="inlineStr">
        <is>
          <t>No</t>
        </is>
      </c>
      <c r="D41" s="26" t="n">
        <v>2</v>
      </c>
      <c r="E41" s="18" t="inlineStr">
        <is>
          <t>Molly Tran</t>
        </is>
      </c>
    </row>
    <row r="42">
      <c r="A42" s="18" t="inlineStr">
        <is>
          <t>1.7.3</t>
        </is>
      </c>
      <c r="B42" s="25" t="inlineStr">
        <is>
          <t>Resources and cost estimate</t>
        </is>
      </c>
      <c r="C42" s="18" t="inlineStr">
        <is>
          <t>No</t>
        </is>
      </c>
      <c r="D42" s="26" t="n">
        <v>2</v>
      </c>
      <c r="E42" s="18" t="inlineStr">
        <is>
          <t>Jennifer Sun</t>
        </is>
      </c>
    </row>
    <row r="43">
      <c r="A43" s="18" t="inlineStr">
        <is>
          <t>1.7.4</t>
        </is>
      </c>
      <c r="B43" s="25" t="inlineStr">
        <is>
          <t>Title page, table of contents and formatting</t>
        </is>
      </c>
      <c r="C43" s="18" t="inlineStr">
        <is>
          <t>No</t>
        </is>
      </c>
      <c r="D43" s="26" t="n">
        <v>1</v>
      </c>
      <c r="E43" s="18" t="inlineStr">
        <is>
          <t>Brandon Lau</t>
        </is>
      </c>
    </row>
    <row r="44">
      <c r="A44" s="22" t="inlineStr">
        <is>
          <t>1.8</t>
        </is>
      </c>
      <c r="B44" s="23" t="inlineStr">
        <is>
          <t>Team meetings and coordination</t>
        </is>
      </c>
      <c r="C44" s="18" t="inlineStr">
        <is>
          <t>No</t>
        </is>
      </c>
      <c r="D44" s="24">
        <f>SUM(D45:D48)</f>
        <v>25</v>
      </c>
      <c r="E44" s="18" t="n"/>
    </row>
    <row r="45">
      <c r="A45" s="18" t="inlineStr">
        <is>
          <t>1.8.1</t>
        </is>
      </c>
      <c r="B45" s="25" t="inlineStr">
        <is>
          <t>Weekly check-ins with the instructor and TA (Oct 6, Oct 13)</t>
        </is>
      </c>
      <c r="C45" s="18" t="inlineStr">
        <is>
          <t>No</t>
        </is>
      </c>
      <c r="D45" s="26" t="n">
        <v>8</v>
      </c>
      <c r="E45" s="18" t="inlineStr">
        <is>
          <t>All team</t>
        </is>
      </c>
    </row>
    <row r="46">
      <c r="A46" s="18" t="inlineStr">
        <is>
          <t>1.8.2</t>
        </is>
      </c>
      <c r="B46" s="25" t="inlineStr">
        <is>
          <t>Team scope discussions (Oct 15, Oct 17)</t>
        </is>
      </c>
      <c r="C46" s="18" t="inlineStr">
        <is>
          <t>No</t>
        </is>
      </c>
      <c r="D46" s="26" t="n">
        <v>8</v>
      </c>
      <c r="E46" s="18" t="inlineStr">
        <is>
          <t>All team</t>
        </is>
      </c>
    </row>
    <row r="47">
      <c r="A47" s="18" t="inlineStr">
        <is>
          <t>1.8.3</t>
        </is>
      </c>
      <c r="B47" s="25" t="inlineStr">
        <is>
          <t>Team meeting Oct 19: split document edits, assign roles, plan the midterm</t>
        </is>
      </c>
      <c r="C47" s="18" t="inlineStr">
        <is>
          <t>No</t>
        </is>
      </c>
      <c r="D47" s="26" t="n">
        <v>8</v>
      </c>
      <c r="E47" s="18" t="inlineStr">
        <is>
          <t>All team</t>
        </is>
      </c>
    </row>
    <row r="48">
      <c r="A48" s="18" t="inlineStr">
        <is>
          <t>1.8.4</t>
        </is>
      </c>
      <c r="B48" s="25" t="inlineStr">
        <is>
          <t>Set up the team chat, meeting cadence and shared documents</t>
        </is>
      </c>
      <c r="C48" s="18" t="inlineStr">
        <is>
          <t>No</t>
        </is>
      </c>
      <c r="D48" s="26" t="n">
        <v>1</v>
      </c>
      <c r="E48" s="18" t="inlineStr">
        <is>
          <t>Molly Tran</t>
        </is>
      </c>
    </row>
    <row r="49">
      <c r="A49" s="22" t="inlineStr">
        <is>
          <t>1.9</t>
        </is>
      </c>
      <c r="B49" s="27" t="inlineStr">
        <is>
          <t>Milestone: scope, MOV, business case and charter submitted (Oct 20)</t>
        </is>
      </c>
      <c r="C49" s="18" t="inlineStr">
        <is>
          <t>No</t>
        </is>
      </c>
      <c r="D49" s="24" t="n">
        <v>0</v>
      </c>
      <c r="E49" s="18" t="n"/>
    </row>
    <row r="50">
      <c r="A50" s="19" t="inlineStr">
        <is>
          <t>Sprint 1: MVP Build  |  Oct 20 – Nov 2 (Weeks 4–6)  |  Current sprint</t>
        </is>
      </c>
      <c r="B50" s="20" t="n"/>
      <c r="C50" s="20" t="n"/>
      <c r="D50" s="20" t="n"/>
      <c r="E50" s="21" t="n"/>
    </row>
    <row r="51">
      <c r="A51" s="22" t="inlineStr">
        <is>
          <t>1.10</t>
        </is>
      </c>
      <c r="B51" s="23" t="inlineStr">
        <is>
          <t>Sprint 1 planning and MVP design spec</t>
        </is>
      </c>
      <c r="C51" s="18" t="inlineStr">
        <is>
          <t>Yes</t>
        </is>
      </c>
      <c r="D51" s="24">
        <f>SUM(D52:D55)</f>
        <v>7</v>
      </c>
      <c r="E51" s="18" t="n"/>
    </row>
    <row r="52">
      <c r="A52" s="18" t="inlineStr">
        <is>
          <t>1.10.1</t>
        </is>
      </c>
      <c r="B52" s="25" t="inlineStr">
        <is>
          <t>Write the MVP design spec (decisions D1–D10, data model, chatbot, acceptance tests A1–A10)</t>
        </is>
      </c>
      <c r="C52" s="18" t="inlineStr">
        <is>
          <t>No</t>
        </is>
      </c>
      <c r="D52" s="26" t="n">
        <v>3</v>
      </c>
      <c r="E52" s="18" t="inlineStr">
        <is>
          <t>Zhenyu Song</t>
        </is>
      </c>
    </row>
    <row r="53">
      <c r="A53" s="18" t="inlineStr">
        <is>
          <t>1.10.2</t>
        </is>
      </c>
      <c r="B53" s="25" t="inlineStr">
        <is>
          <t>Break the spec into session plans S2–S6; write CLAUDE.md and PROGRESS.md</t>
        </is>
      </c>
      <c r="C53" s="18" t="inlineStr">
        <is>
          <t>No</t>
        </is>
      </c>
      <c r="D53" s="26" t="n">
        <v>2</v>
      </c>
      <c r="E53" s="18" t="inlineStr">
        <is>
          <t>Zhenyu Song</t>
        </is>
      </c>
    </row>
    <row r="54">
      <c r="A54" s="18" t="inlineStr">
        <is>
          <t>1.10.3</t>
        </is>
      </c>
      <c r="B54" s="25" t="inlineStr">
        <is>
          <t>Set up the team's private GitHub repo and invite every member</t>
        </is>
      </c>
      <c r="C54" s="18" t="inlineStr">
        <is>
          <t>No</t>
        </is>
      </c>
      <c r="D54" s="26" t="n">
        <v>1</v>
      </c>
      <c r="E54" s="18" t="inlineStr">
        <is>
          <t>Brandon Lau</t>
        </is>
      </c>
    </row>
    <row r="55">
      <c r="A55" s="18" t="inlineStr">
        <is>
          <t>1.10.4</t>
        </is>
      </c>
      <c r="B55" s="25" t="inlineStr">
        <is>
          <t>Sprint planning: assign an owner to each user story</t>
        </is>
      </c>
      <c r="C55" s="18" t="inlineStr">
        <is>
          <t>No</t>
        </is>
      </c>
      <c r="D55" s="26" t="n">
        <v>1</v>
      </c>
      <c r="E55" s="18" t="inlineStr">
        <is>
          <t>Brandon Lau</t>
        </is>
      </c>
    </row>
    <row r="56">
      <c r="A56" s="22" t="inlineStr">
        <is>
          <t>1.11</t>
        </is>
      </c>
      <c r="B56" s="23" t="inlineStr">
        <is>
          <t>US-01 Upload an event export as-is (UP-01 – UP-10, UP-19)</t>
        </is>
      </c>
      <c r="C56" s="18" t="inlineStr">
        <is>
          <t>Yes</t>
        </is>
      </c>
      <c r="D56" s="24">
        <f>SUM(D57:D63)</f>
        <v>14</v>
      </c>
      <c r="E56" s="18" t="n"/>
    </row>
    <row r="57">
      <c r="A57" s="18" t="inlineStr">
        <is>
          <t>1.11.1</t>
        </is>
      </c>
      <c r="B57" s="25" t="inlineStr">
        <is>
          <t>Map CampusGroups and 12twenty columns to the GPSRC layout</t>
        </is>
      </c>
      <c r="C57" s="18" t="inlineStr">
        <is>
          <t>No</t>
        </is>
      </c>
      <c r="D57" s="26" t="n">
        <v>2</v>
      </c>
      <c r="E57" s="18" t="inlineStr">
        <is>
          <t>Molly Tran</t>
        </is>
      </c>
    </row>
    <row r="58">
      <c r="A58" s="18" t="inlineStr">
        <is>
          <t>1.11.2</t>
        </is>
      </c>
      <c r="B58" s="25" t="inlineStr">
        <is>
          <t>Database schema and migrations (import_file, event, person, attendance, flags)</t>
        </is>
      </c>
      <c r="C58" s="18" t="inlineStr">
        <is>
          <t>No</t>
        </is>
      </c>
      <c r="D58" s="26" t="n">
        <v>2</v>
      </c>
      <c r="E58" s="18" t="inlineStr">
        <is>
          <t>Brandon Lau</t>
        </is>
      </c>
    </row>
    <row r="59">
      <c r="A59" s="18" t="inlineStr">
        <is>
          <t>1.11.3</t>
        </is>
      </c>
      <c r="B59" s="25" t="inlineStr">
        <is>
          <t>CampusGroups and 12twenty adapters</t>
        </is>
      </c>
      <c r="C59" s="18" t="inlineStr">
        <is>
          <t>No</t>
        </is>
      </c>
      <c r="D59" s="26" t="n">
        <v>3</v>
      </c>
      <c r="E59" s="18" t="inlineStr">
        <is>
          <t>Molly Tran</t>
        </is>
      </c>
    </row>
    <row r="60">
      <c r="A60" s="18" t="inlineStr">
        <is>
          <t>1.11.4</t>
        </is>
      </c>
      <c r="B60" s="25" t="inlineStr">
        <is>
          <t>Detect the source from the headers; reject unknown formats and list missing columns</t>
        </is>
      </c>
      <c r="C60" s="18" t="inlineStr">
        <is>
          <t>No</t>
        </is>
      </c>
      <c r="D60" s="26" t="n">
        <v>1</v>
      </c>
      <c r="E60" s="18" t="inlineStr">
        <is>
          <t>Molly Tran</t>
        </is>
      </c>
    </row>
    <row r="61">
      <c r="A61" s="18" t="inlineStr">
        <is>
          <t>1.11.5</t>
        </is>
      </c>
      <c r="B61" s="25" t="inlineStr">
        <is>
          <t>Duplicate-file protection (file hash and content hash)</t>
        </is>
      </c>
      <c r="C61" s="18" t="inlineStr">
        <is>
          <t>No</t>
        </is>
      </c>
      <c r="D61" s="26" t="n">
        <v>1</v>
      </c>
      <c r="E61" s="18" t="inlineStr">
        <is>
          <t>Molly Tran</t>
        </is>
      </c>
    </row>
    <row r="62">
      <c r="A62" s="18" t="inlineStr">
        <is>
          <t>1.11.6</t>
        </is>
      </c>
      <c r="B62" s="25" t="inlineStr">
        <is>
          <t>Upload page: drop zone, preview, Duplicate and Rejected cards</t>
        </is>
      </c>
      <c r="C62" s="18" t="inlineStr">
        <is>
          <t>No</t>
        </is>
      </c>
      <c r="D62" s="26" t="n">
        <v>3</v>
      </c>
      <c r="E62" s="18" t="inlineStr">
        <is>
          <t>Jennifer Sun</t>
        </is>
      </c>
    </row>
    <row r="63">
      <c r="A63" s="18" t="inlineStr">
        <is>
          <t>1.11.7</t>
        </is>
      </c>
      <c r="B63" s="25" t="inlineStr">
        <is>
          <t>Tests: A1 (293 rows, 79 NetIDs) and A2 (a re-upload adds nothing)</t>
        </is>
      </c>
      <c r="C63" s="18" t="inlineStr">
        <is>
          <t>No</t>
        </is>
      </c>
      <c r="D63" s="26" t="n">
        <v>2</v>
      </c>
      <c r="E63" s="18" t="inlineStr">
        <is>
          <t>Molly Tran</t>
        </is>
      </c>
    </row>
    <row r="64">
      <c r="A64" s="22" t="inlineStr">
        <is>
          <t>1.12</t>
        </is>
      </c>
      <c r="B64" s="23" t="inlineStr">
        <is>
          <t>US-02 Enter event details before commit (UP-11 – UP-14)</t>
        </is>
      </c>
      <c r="C64" s="18" t="inlineStr">
        <is>
          <t>Yes</t>
        </is>
      </c>
      <c r="D64" s="24">
        <f>SUM(D65:D68)</f>
        <v>5</v>
      </c>
      <c r="E64" s="18" t="n"/>
    </row>
    <row r="65">
      <c r="A65" s="18" t="inlineStr">
        <is>
          <t>1.12.1</t>
        </is>
      </c>
      <c r="B65" s="25" t="inlineStr">
        <is>
          <t>Prefill the event name from the file name and the date from the Registration UID</t>
        </is>
      </c>
      <c r="C65" s="18" t="inlineStr">
        <is>
          <t>No</t>
        </is>
      </c>
      <c r="D65" s="26" t="n">
        <v>1</v>
      </c>
      <c r="E65" s="18" t="inlineStr">
        <is>
          <t>Molly Tran</t>
        </is>
      </c>
    </row>
    <row r="66">
      <c r="A66" s="18" t="inlineStr">
        <is>
          <t>1.12.2</t>
        </is>
      </c>
      <c r="B66" s="25" t="inlineStr">
        <is>
          <t>Event form with term check and required fields</t>
        </is>
      </c>
      <c r="C66" s="18" t="inlineStr">
        <is>
          <t>No</t>
        </is>
      </c>
      <c r="D66" s="26" t="n">
        <v>2</v>
      </c>
      <c r="E66" s="18" t="inlineStr">
        <is>
          <t>Jennifer Sun</t>
        </is>
      </c>
    </row>
    <row r="67">
      <c r="A67" s="18" t="inlineStr">
        <is>
          <t>1.12.3</t>
        </is>
      </c>
      <c r="B67" s="25" t="inlineStr">
        <is>
          <t>Commit in one transaction; discard a pending import</t>
        </is>
      </c>
      <c r="C67" s="18" t="inlineStr">
        <is>
          <t>No</t>
        </is>
      </c>
      <c r="D67" s="26" t="n">
        <v>1</v>
      </c>
      <c r="E67" s="18" t="inlineStr">
        <is>
          <t>Molly Tran</t>
        </is>
      </c>
    </row>
    <row r="68">
      <c r="A68" s="18" t="inlineStr">
        <is>
          <t>1.12.4</t>
        </is>
      </c>
      <c r="B68" s="25" t="inlineStr">
        <is>
          <t>Keep pending imports across pages and reloads</t>
        </is>
      </c>
      <c r="C68" s="18" t="inlineStr">
        <is>
          <t>No</t>
        </is>
      </c>
      <c r="D68" s="26" t="n">
        <v>1</v>
      </c>
      <c r="E68" s="18" t="inlineStr">
        <is>
          <t>Jennifer Sun</t>
        </is>
      </c>
    </row>
    <row r="69">
      <c r="A69" s="22" t="inlineStr">
        <is>
          <t>1.13</t>
        </is>
      </c>
      <c r="B69" s="23" t="inlineStr">
        <is>
          <t>US-03 Link the same person across events (UP-15, UP-16)</t>
        </is>
      </c>
      <c r="C69" s="18" t="inlineStr">
        <is>
          <t>Yes</t>
        </is>
      </c>
      <c r="D69" s="24">
        <f>SUM(D70:D72)</f>
        <v>4</v>
      </c>
      <c r="E69" s="18" t="n"/>
    </row>
    <row r="70">
      <c r="A70" s="18" t="inlineStr">
        <is>
          <t>1.13.1</t>
        </is>
      </c>
      <c r="B70" s="25" t="inlineStr">
        <is>
          <t>Identity linker: NetID first, then email; flag conflicts</t>
        </is>
      </c>
      <c r="C70" s="18" t="inlineStr">
        <is>
          <t>No</t>
        </is>
      </c>
      <c r="D70" s="26" t="n">
        <v>2</v>
      </c>
      <c r="E70" s="18" t="inlineStr">
        <is>
          <t>Molly Tran</t>
        </is>
      </c>
    </row>
    <row r="71">
      <c r="A71" s="18" t="inlineStr">
        <is>
          <t>1.13.2</t>
        </is>
      </c>
      <c r="B71" s="25" t="inlineStr">
        <is>
          <t>Data-quality flags and their counts in the preview</t>
        </is>
      </c>
      <c r="C71" s="18" t="inlineStr">
        <is>
          <t>No</t>
        </is>
      </c>
      <c r="D71" s="26" t="n">
        <v>1</v>
      </c>
      <c r="E71" s="18" t="inlineStr">
        <is>
          <t>Molly Tran</t>
        </is>
      </c>
    </row>
    <row r="72">
      <c r="A72" s="18" t="inlineStr">
        <is>
          <t>1.13.3</t>
        </is>
      </c>
      <c r="B72" s="25" t="inlineStr">
        <is>
          <t>Tests: linker cases; the November Bagel Breakfast row links by email</t>
        </is>
      </c>
      <c r="C72" s="18" t="inlineStr">
        <is>
          <t>No</t>
        </is>
      </c>
      <c r="D72" s="26" t="n">
        <v>1</v>
      </c>
      <c r="E72" s="18" t="inlineStr">
        <is>
          <t>Molly Tran</t>
        </is>
      </c>
    </row>
    <row r="73">
      <c r="A73" s="22" t="inlineStr">
        <is>
          <t>1.14</t>
        </is>
      </c>
      <c r="B73" s="23" t="inlineStr">
        <is>
          <t>US-04 Ask a question and see the SQL and the table (CH-01, CH-04, CH-11, CH-19)</t>
        </is>
      </c>
      <c r="C73" s="18" t="inlineStr">
        <is>
          <t>Yes</t>
        </is>
      </c>
      <c r="D73" s="24">
        <f>SUM(D74:D79)</f>
        <v>11</v>
      </c>
      <c r="E73" s="18" t="n"/>
    </row>
    <row r="74">
      <c r="A74" s="18" t="inlineStr">
        <is>
          <t>1.14.1</t>
        </is>
      </c>
      <c r="B74" s="25" t="inlineStr">
        <is>
          <t>Read-only attendance_view and chatbot_ro role with a 5 s timeout</t>
        </is>
      </c>
      <c r="C74" s="18" t="inlineStr">
        <is>
          <t>No</t>
        </is>
      </c>
      <c r="D74" s="26" t="n">
        <v>1</v>
      </c>
      <c r="E74" s="18" t="inlineStr">
        <is>
          <t>Brandon Lau</t>
        </is>
      </c>
    </row>
    <row r="75">
      <c r="A75" s="18" t="inlineStr">
        <is>
          <t>1.14.2</t>
        </is>
      </c>
      <c r="B75" s="25" t="inlineStr">
        <is>
          <t>LangGraph chat graph and SQL-generation prompt</t>
        </is>
      </c>
      <c r="C75" s="18" t="inlineStr">
        <is>
          <t>No</t>
        </is>
      </c>
      <c r="D75" s="26" t="n">
        <v>3</v>
      </c>
      <c r="E75" s="18" t="inlineStr">
        <is>
          <t>Zhenyu Song</t>
        </is>
      </c>
    </row>
    <row r="76">
      <c r="A76" s="18" t="inlineStr">
        <is>
          <t>1.14.3</t>
        </is>
      </c>
      <c r="B76" s="25" t="inlineStr">
        <is>
          <t>Streaming API (SSE) and saved conversations</t>
        </is>
      </c>
      <c r="C76" s="18" t="inlineStr">
        <is>
          <t>No</t>
        </is>
      </c>
      <c r="D76" s="26" t="n">
        <v>2</v>
      </c>
      <c r="E76" s="18" t="inlineStr">
        <is>
          <t>Zhenyu Song</t>
        </is>
      </c>
    </row>
    <row r="77">
      <c r="A77" s="18" t="inlineStr">
        <is>
          <t>1.14.4</t>
        </is>
      </c>
      <c r="B77" s="25" t="inlineStr">
        <is>
          <t>Chat page: question box, progress steps, answer card, SQL and table</t>
        </is>
      </c>
      <c r="C77" s="18" t="inlineStr">
        <is>
          <t>No</t>
        </is>
      </c>
      <c r="D77" s="26" t="n">
        <v>3</v>
      </c>
      <c r="E77" s="18" t="inlineStr">
        <is>
          <t>Jennifer Sun</t>
        </is>
      </c>
    </row>
    <row r="78">
      <c r="A78" s="18" t="inlineStr">
        <is>
          <t>1.14.5</t>
        </is>
      </c>
      <c r="B78" s="25" t="inlineStr">
        <is>
          <t>Recent questions in the side nav; reopen and re-run old answers</t>
        </is>
      </c>
      <c r="C78" s="18" t="inlineStr">
        <is>
          <t>No</t>
        </is>
      </c>
      <c r="D78" s="26" t="n">
        <v>1</v>
      </c>
      <c r="E78" s="18" t="inlineStr">
        <is>
          <t>Jennifer Sun</t>
        </is>
      </c>
    </row>
    <row r="79">
      <c r="A79" s="18" t="inlineStr">
        <is>
          <t>1.14.6</t>
        </is>
      </c>
      <c r="B79" s="25" t="inlineStr">
        <is>
          <t>Tests: graph integration tests with a scripted model</t>
        </is>
      </c>
      <c r="C79" s="18" t="inlineStr">
        <is>
          <t>No</t>
        </is>
      </c>
      <c r="D79" s="26" t="n">
        <v>1</v>
      </c>
      <c r="E79" s="18" t="inlineStr">
        <is>
          <t>Zhenyu Song</t>
        </is>
      </c>
    </row>
    <row r="80">
      <c r="A80" s="22" t="inlineStr">
        <is>
          <t>1.15</t>
        </is>
      </c>
      <c r="B80" s="23" t="inlineStr">
        <is>
          <t>US-05 Follow-ups, clarifying questions and repairs (CH-02, CH-03, CH-12, CH-13, CH-22)</t>
        </is>
      </c>
      <c r="C80" s="18" t="inlineStr">
        <is>
          <t>Yes</t>
        </is>
      </c>
      <c r="D80" s="24">
        <f>SUM(D81:D83)</f>
        <v>4</v>
      </c>
      <c r="E80" s="18" t="n"/>
    </row>
    <row r="81">
      <c r="A81" s="18" t="inlineStr">
        <is>
          <t>1.15.1</t>
        </is>
      </c>
      <c r="B81" s="25" t="inlineStr">
        <is>
          <t>Conversation history (questions and SQL only) for follow-ups</t>
        </is>
      </c>
      <c r="C81" s="18" t="inlineStr">
        <is>
          <t>No</t>
        </is>
      </c>
      <c r="D81" s="26" t="n">
        <v>1</v>
      </c>
      <c r="E81" s="18" t="inlineStr">
        <is>
          <t>Zhenyu Song</t>
        </is>
      </c>
    </row>
    <row r="82">
      <c r="A82" s="18" t="inlineStr">
        <is>
          <t>1.15.2</t>
        </is>
      </c>
      <c r="B82" s="25" t="inlineStr">
        <is>
          <t>Clarifying questions and the repair loop (up to 3 tries)</t>
        </is>
      </c>
      <c r="C82" s="18" t="inlineStr">
        <is>
          <t>No</t>
        </is>
      </c>
      <c r="D82" s="26" t="n">
        <v>2</v>
      </c>
      <c r="E82" s="18" t="inlineStr">
        <is>
          <t>Zhenyu Song</t>
        </is>
      </c>
    </row>
    <row r="83">
      <c r="A83" s="18" t="inlineStr">
        <is>
          <t>1.15.3</t>
        </is>
      </c>
      <c r="B83" s="25" t="inlineStr">
        <is>
          <t>Clarification bubble and Retry in the chat page</t>
        </is>
      </c>
      <c r="C83" s="18" t="inlineStr">
        <is>
          <t>No</t>
        </is>
      </c>
      <c r="D83" s="26" t="n">
        <v>1</v>
      </c>
      <c r="E83" s="18" t="inlineStr">
        <is>
          <t>Jennifer Sun</t>
        </is>
      </c>
    </row>
    <row r="84">
      <c r="A84" s="22" t="inlineStr">
        <is>
          <t>1.16</t>
        </is>
      </c>
      <c r="B84" s="23" t="inlineStr">
        <is>
          <t>US-06 Keep the data safe from generated SQL (A6, A8)</t>
        </is>
      </c>
      <c r="C84" s="18" t="inlineStr">
        <is>
          <t>Yes</t>
        </is>
      </c>
      <c r="D84" s="24">
        <f>SUM(D85:D87)</f>
        <v>4</v>
      </c>
      <c r="E84" s="18" t="n"/>
    </row>
    <row r="85">
      <c r="A85" s="18" t="inlineStr">
        <is>
          <t>1.16.1</t>
        </is>
      </c>
      <c r="B85" s="25" t="inlineStr">
        <is>
          <t>SQL guard: one SELECT on attendance_view, function allow-list, row limit</t>
        </is>
      </c>
      <c r="C85" s="18" t="inlineStr">
        <is>
          <t>No</t>
        </is>
      </c>
      <c r="D85" s="26" t="n">
        <v>2</v>
      </c>
      <c r="E85" s="18" t="inlineStr">
        <is>
          <t>Zhenyu Song</t>
        </is>
      </c>
    </row>
    <row r="86">
      <c r="A86" s="18" t="inlineStr">
        <is>
          <t>1.16.2</t>
        </is>
      </c>
      <c r="B86" s="25" t="inlineStr">
        <is>
          <t>Read-only executor that always rolls back, and the error sanitizer</t>
        </is>
      </c>
      <c r="C86" s="18" t="inlineStr">
        <is>
          <t>No</t>
        </is>
      </c>
      <c r="D86" s="26" t="n">
        <v>1</v>
      </c>
      <c r="E86" s="18" t="inlineStr">
        <is>
          <t>Zhenyu Song</t>
        </is>
      </c>
    </row>
    <row r="87">
      <c r="A87" s="18" t="inlineStr">
        <is>
          <t>1.16.3</t>
        </is>
      </c>
      <c r="B87" s="25" t="inlineStr">
        <is>
          <t>Tests: A8 harmful SQL and A6 privacy with a recording model</t>
        </is>
      </c>
      <c r="C87" s="18" t="inlineStr">
        <is>
          <t>No</t>
        </is>
      </c>
      <c r="D87" s="26" t="n">
        <v>1</v>
      </c>
      <c r="E87" s="18" t="inlineStr">
        <is>
          <t>Zhenyu Song</t>
        </is>
      </c>
    </row>
    <row r="88">
      <c r="A88" s="22" t="inlineStr">
        <is>
          <t>1.17</t>
        </is>
      </c>
      <c r="B88" s="23" t="inlineStr">
        <is>
          <t>US-07 Choose whether the AI sees the results (CH-08, CH-09)</t>
        </is>
      </c>
      <c r="C88" s="18" t="inlineStr">
        <is>
          <t>Yes</t>
        </is>
      </c>
      <c r="D88" s="24">
        <f>SUM(D89:D91)</f>
        <v>3</v>
      </c>
      <c r="E88" s="18" t="n"/>
    </row>
    <row r="89">
      <c r="A89" s="18" t="inlineStr">
        <is>
          <t>1.17.1</t>
        </is>
      </c>
      <c r="B89" s="25" t="inlineStr">
        <is>
          <t>Per-model ceiling plus per-question switch, decided on the server</t>
        </is>
      </c>
      <c r="C89" s="18" t="inlineStr">
        <is>
          <t>No</t>
        </is>
      </c>
      <c r="D89" s="26" t="n">
        <v>1</v>
      </c>
      <c r="E89" s="18" t="inlineStr">
        <is>
          <t>Zhenyu Song</t>
        </is>
      </c>
    </row>
    <row r="90">
      <c r="A90" s="18" t="inlineStr">
        <is>
          <t>1.17.2</t>
        </is>
      </c>
      <c r="B90" s="25" t="inlineStr">
        <is>
          <t>AI summary from capped rows, or a local summary</t>
        </is>
      </c>
      <c r="C90" s="18" t="inlineStr">
        <is>
          <t>No</t>
        </is>
      </c>
      <c r="D90" s="26" t="n">
        <v>1</v>
      </c>
      <c r="E90" s="18" t="inlineStr">
        <is>
          <t>Zhenyu Song</t>
        </is>
      </c>
    </row>
    <row r="91">
      <c r="A91" s="18" t="inlineStr">
        <is>
          <t>1.17.3</t>
        </is>
      </c>
      <c r="B91" s="25" t="inlineStr">
        <is>
          <t>Switch in the question box, its help text and the caution line</t>
        </is>
      </c>
      <c r="C91" s="18" t="inlineStr">
        <is>
          <t>No</t>
        </is>
      </c>
      <c r="D91" s="26" t="n">
        <v>1</v>
      </c>
      <c r="E91" s="18" t="inlineStr">
        <is>
          <t>Jennifer Sun</t>
        </is>
      </c>
    </row>
    <row r="92">
      <c r="A92" s="22" t="inlineStr">
        <is>
          <t>1.18</t>
        </is>
      </c>
      <c r="B92" s="23" t="inlineStr">
        <is>
          <t>US-08 Manage AI models in Settings (ST-01 – ST-10, CH-10, CH-17, CH-21)</t>
        </is>
      </c>
      <c r="C92" s="18" t="inlineStr">
        <is>
          <t>Yes</t>
        </is>
      </c>
      <c r="D92" s="24">
        <f>SUM(D93:D95)</f>
        <v>5</v>
      </c>
      <c r="E92" s="18" t="n"/>
    </row>
    <row r="93">
      <c r="A93" s="18" t="inlineStr">
        <is>
          <t>1.18.1</t>
        </is>
      </c>
      <c r="B93" s="25" t="inlineStr">
        <is>
          <t>Encrypted API keys, provider presets and Test connection</t>
        </is>
      </c>
      <c r="C93" s="18" t="inlineStr">
        <is>
          <t>No</t>
        </is>
      </c>
      <c r="D93" s="26" t="n">
        <v>2</v>
      </c>
      <c r="E93" s="18" t="inlineStr">
        <is>
          <t>Zhenyu Song</t>
        </is>
      </c>
    </row>
    <row r="94">
      <c r="A94" s="18" t="inlineStr">
        <is>
          <t>1.18.2</t>
        </is>
      </c>
      <c r="B94" s="25" t="inlineStr">
        <is>
          <t>Settings page: add, test, edit, set default, delete</t>
        </is>
      </c>
      <c r="C94" s="18" t="inlineStr">
        <is>
          <t>No</t>
        </is>
      </c>
      <c r="D94" s="26" t="n">
        <v>2</v>
      </c>
      <c r="E94" s="18" t="inlineStr">
        <is>
          <t>Jennifer Sun</t>
        </is>
      </c>
    </row>
    <row r="95">
      <c r="A95" s="18" t="inlineStr">
        <is>
          <t>1.18.3</t>
        </is>
      </c>
      <c r="B95" s="25" t="inlineStr">
        <is>
          <t>Walk the Settings stories ST-01 – ST-10</t>
        </is>
      </c>
      <c r="C95" s="18" t="inlineStr">
        <is>
          <t>No</t>
        </is>
      </c>
      <c r="D95" s="26" t="n">
        <v>1</v>
      </c>
      <c r="E95" s="18" t="inlineStr">
        <is>
          <t>Molly Tran</t>
        </is>
      </c>
    </row>
    <row r="96">
      <c r="A96" s="22" t="inlineStr">
        <is>
          <t>1.19</t>
        </is>
      </c>
      <c r="B96" s="23" t="inlineStr">
        <is>
          <t>US-09 Download results as Excel or CSV (CH-05, CH-06, DS-02)</t>
        </is>
      </c>
      <c r="C96" s="18" t="inlineStr">
        <is>
          <t>Yes</t>
        </is>
      </c>
      <c r="D96" s="24">
        <f>SUM(D97:D100)</f>
        <v>5</v>
      </c>
      <c r="E96" s="18" t="n"/>
    </row>
    <row r="97">
      <c r="A97" s="18" t="inlineStr">
        <is>
          <t>1.19.1</t>
        </is>
      </c>
      <c r="B97" s="25" t="inlineStr">
        <is>
          <t>Excel and CSV writers with a formula guard; full dataset in the 19-column layout</t>
        </is>
      </c>
      <c r="C97" s="18" t="inlineStr">
        <is>
          <t>No</t>
        </is>
      </c>
      <c r="D97" s="26" t="n">
        <v>2</v>
      </c>
      <c r="E97" s="18" t="inlineStr">
        <is>
          <t>Molly Tran</t>
        </is>
      </c>
    </row>
    <row r="98">
      <c r="A98" s="18" t="inlineStr">
        <is>
          <t>1.19.2</t>
        </is>
      </c>
      <c r="B98" s="25" t="inlineStr">
        <is>
          <t>Export of a chat result with a row cap</t>
        </is>
      </c>
      <c r="C98" s="18" t="inlineStr">
        <is>
          <t>No</t>
        </is>
      </c>
      <c r="D98" s="26" t="n">
        <v>1</v>
      </c>
      <c r="E98" s="18" t="inlineStr">
        <is>
          <t>Zhenyu Song</t>
        </is>
      </c>
    </row>
    <row r="99">
      <c r="A99" s="18" t="inlineStr">
        <is>
          <t>1.19.3</t>
        </is>
      </c>
      <c r="B99" s="25" t="inlineStr">
        <is>
          <t>Download buttons and the "This file stops at N rows" notice</t>
        </is>
      </c>
      <c r="C99" s="18" t="inlineStr">
        <is>
          <t>No</t>
        </is>
      </c>
      <c r="D99" s="26" t="n">
        <v>1</v>
      </c>
      <c r="E99" s="18" t="inlineStr">
        <is>
          <t>Jennifer Sun</t>
        </is>
      </c>
    </row>
    <row r="100">
      <c r="A100" s="18" t="inlineStr">
        <is>
          <t>1.19.4</t>
        </is>
      </c>
      <c r="B100" s="25" t="inlineStr">
        <is>
          <t>Time question to downloaded Excel (A10, under 60 s)</t>
        </is>
      </c>
      <c r="C100" s="18" t="inlineStr">
        <is>
          <t>No</t>
        </is>
      </c>
      <c r="D100" s="26" t="n">
        <v>1</v>
      </c>
      <c r="E100" s="18" t="inlineStr">
        <is>
          <t>Brandon Lau</t>
        </is>
      </c>
    </row>
    <row r="101">
      <c r="A101" s="22" t="inlineStr">
        <is>
          <t>1.20</t>
        </is>
      </c>
      <c r="B101" s="23" t="inlineStr">
        <is>
          <t>US-10 See what has been imported (DS-01 – DS-05)</t>
        </is>
      </c>
      <c r="C101" s="18" t="inlineStr">
        <is>
          <t>Yes</t>
        </is>
      </c>
      <c r="D101" s="24">
        <f>SUM(D102:D103)</f>
        <v>2</v>
      </c>
      <c r="E101" s="18" t="n"/>
    </row>
    <row r="102">
      <c r="A102" s="18" t="inlineStr">
        <is>
          <t>1.20.1</t>
        </is>
      </c>
      <c r="B102" s="25" t="inlineStr">
        <is>
          <t>Imports list API with the rows each file added</t>
        </is>
      </c>
      <c r="C102" s="18" t="inlineStr">
        <is>
          <t>No</t>
        </is>
      </c>
      <c r="D102" s="26" t="n">
        <v>1</v>
      </c>
      <c r="E102" s="18" t="inlineStr">
        <is>
          <t>Molly Tran</t>
        </is>
      </c>
    </row>
    <row r="103">
      <c r="A103" s="18" t="inlineStr">
        <is>
          <t>1.20.2</t>
        </is>
      </c>
      <c r="B103" s="25" t="inlineStr">
        <is>
          <t>Dataset page: file list, Pending link, full download</t>
        </is>
      </c>
      <c r="C103" s="18" t="inlineStr">
        <is>
          <t>No</t>
        </is>
      </c>
      <c r="D103" s="26" t="n">
        <v>1</v>
      </c>
      <c r="E103" s="18" t="inlineStr">
        <is>
          <t>Jennifer Sun</t>
        </is>
      </c>
    </row>
    <row r="104">
      <c r="A104" s="22" t="inlineStr">
        <is>
          <t>1.21</t>
        </is>
      </c>
      <c r="B104" s="23" t="inlineStr">
        <is>
          <t>US-11 Move around the app on a laptop screen (SH-01 – SH-07)</t>
        </is>
      </c>
      <c r="C104" s="18" t="inlineStr">
        <is>
          <t>Yes</t>
        </is>
      </c>
      <c r="D104" s="24">
        <f>SUM(D105:D106)</f>
        <v>4</v>
      </c>
      <c r="E104" s="18" t="n"/>
    </row>
    <row r="105">
      <c r="A105" s="18" t="inlineStr">
        <is>
          <t>1.21.1</t>
        </is>
      </c>
      <c r="B105" s="25" t="inlineStr">
        <is>
          <t>UCI blue-and-gold redesign: side nav and header bar (artboards A2, D2, E1)</t>
        </is>
      </c>
      <c r="C105" s="18" t="inlineStr">
        <is>
          <t>No</t>
        </is>
      </c>
      <c r="D105" s="26" t="n">
        <v>3</v>
      </c>
      <c r="E105" s="18" t="inlineStr">
        <is>
          <t>Jennifer Sun</t>
        </is>
      </c>
    </row>
    <row r="106">
      <c r="A106" s="18" t="inlineStr">
        <is>
          <t>1.21.2</t>
        </is>
      </c>
      <c r="B106" s="25" t="inlineStr">
        <is>
          <t>Page not found, Not connected and reload pages; keyboard focus rings</t>
        </is>
      </c>
      <c r="C106" s="18" t="inlineStr">
        <is>
          <t>No</t>
        </is>
      </c>
      <c r="D106" s="26" t="n">
        <v>1</v>
      </c>
      <c r="E106" s="18" t="inlineStr">
        <is>
          <t>Jennifer Sun</t>
        </is>
      </c>
    </row>
    <row r="107">
      <c r="A107" s="22" t="inlineStr">
        <is>
          <t>1.22</t>
        </is>
      </c>
      <c r="B107" s="23" t="inlineStr">
        <is>
          <t>MVP verification against the MOV (A1 – A10, SP-01 – SP-14)</t>
        </is>
      </c>
      <c r="C107" s="18" t="inlineStr">
        <is>
          <t>Yes</t>
        </is>
      </c>
      <c r="D107" s="24">
        <f>SUM(D108:D112)</f>
        <v>10</v>
      </c>
      <c r="E107" s="18" t="n"/>
    </row>
    <row r="108">
      <c r="A108" s="18" t="inlineStr">
        <is>
          <t>1.22.1</t>
        </is>
      </c>
      <c r="B108" s="25" t="inlineStr">
        <is>
          <t>Chatbot benchmark: 20 questions and 10 held-out; tune the prompt</t>
        </is>
      </c>
      <c r="C108" s="18" t="inlineStr">
        <is>
          <t>No</t>
        </is>
      </c>
      <c r="D108" s="26" t="n">
        <v>2</v>
      </c>
      <c r="E108" s="18" t="inlineStr">
        <is>
          <t>Zhenyu Song</t>
        </is>
      </c>
    </row>
    <row r="109">
      <c r="A109" s="18" t="inlineStr">
        <is>
          <t>1.22.2</t>
        </is>
      </c>
      <c r="B109" s="25" t="inlineStr">
        <is>
          <t>Full acceptance run (acceptance.sh)</t>
        </is>
      </c>
      <c r="C109" s="18" t="inlineStr">
        <is>
          <t>No</t>
        </is>
      </c>
      <c r="D109" s="26" t="n">
        <v>1</v>
      </c>
      <c r="E109" s="18" t="inlineStr">
        <is>
          <t>Brandon Lau</t>
        </is>
      </c>
    </row>
    <row r="110">
      <c r="A110" s="18" t="inlineStr">
        <is>
          <t>1.22.3</t>
        </is>
      </c>
      <c r="B110" s="25" t="inlineStr">
        <is>
          <t>Walk the 63 user stories and log the findings</t>
        </is>
      </c>
      <c r="C110" s="18" t="inlineStr">
        <is>
          <t>No</t>
        </is>
      </c>
      <c r="D110" s="26" t="n">
        <v>3</v>
      </c>
      <c r="E110" s="18" t="inlineStr">
        <is>
          <t>Brandon Lau</t>
        </is>
      </c>
    </row>
    <row r="111">
      <c r="A111" s="18" t="inlineStr">
        <is>
          <t>1.22.4</t>
        </is>
      </c>
      <c r="B111" s="25" t="inlineStr">
        <is>
          <t>Walk the sponsor's Oct 21 requests (SP-01 – SP-14)</t>
        </is>
      </c>
      <c r="C111" s="18" t="inlineStr">
        <is>
          <t>No</t>
        </is>
      </c>
      <c r="D111" s="26" t="n">
        <v>2</v>
      </c>
      <c r="E111" s="18" t="inlineStr">
        <is>
          <t>Brandon Lau</t>
        </is>
      </c>
    </row>
    <row r="112">
      <c r="A112" s="18" t="inlineStr">
        <is>
          <t>1.22.5</t>
        </is>
      </c>
      <c r="B112" s="25" t="inlineStr">
        <is>
          <t>First drafts: setup guide, user guide, data dictionary, known limitations</t>
        </is>
      </c>
      <c r="C112" s="18" t="inlineStr">
        <is>
          <t>No</t>
        </is>
      </c>
      <c r="D112" s="26" t="n">
        <v>2</v>
      </c>
      <c r="E112" s="18" t="inlineStr">
        <is>
          <t>Molly Tran</t>
        </is>
      </c>
    </row>
    <row r="113">
      <c r="A113" s="22" t="inlineStr">
        <is>
          <t>1.23</t>
        </is>
      </c>
      <c r="B113" s="23" t="inlineStr">
        <is>
          <t>Project management and sponsor communication</t>
        </is>
      </c>
      <c r="C113" s="18" t="inlineStr">
        <is>
          <t>No</t>
        </is>
      </c>
      <c r="D113" s="24">
        <f>SUM(D114:D119)</f>
        <v>20</v>
      </c>
      <c r="E113" s="18" t="n"/>
    </row>
    <row r="114">
      <c r="A114" s="18" t="inlineStr">
        <is>
          <t>1.23.1</t>
        </is>
      </c>
      <c r="B114" s="25" t="inlineStr">
        <is>
          <t>Sponsor meeting Oct 21: confirm the three success metrics and the query needs</t>
        </is>
      </c>
      <c r="C114" s="18" t="inlineStr">
        <is>
          <t>No</t>
        </is>
      </c>
      <c r="D114" s="26" t="n">
        <v>4</v>
      </c>
      <c r="E114" s="18" t="inlineStr">
        <is>
          <t>All team</t>
        </is>
      </c>
    </row>
    <row r="115">
      <c r="A115" s="18" t="inlineStr">
        <is>
          <t>1.23.2</t>
        </is>
      </c>
      <c r="B115" s="25" t="inlineStr">
        <is>
          <t>Email the sponsor the LLM credit request ($100–200)</t>
        </is>
      </c>
      <c r="C115" s="18" t="inlineStr">
        <is>
          <t>No</t>
        </is>
      </c>
      <c r="D115" s="26" t="n">
        <v>1</v>
      </c>
      <c r="E115" s="18" t="inlineStr">
        <is>
          <t>Brandon Lau</t>
        </is>
      </c>
    </row>
    <row r="116">
      <c r="A116" s="18" t="inlineStr">
        <is>
          <t>1.23.3</t>
        </is>
      </c>
      <c r="B116" s="25" t="inlineStr">
        <is>
          <t>Verify the ZotGPT gateway: base URL, JSON mode, model names (by Oct 28)</t>
        </is>
      </c>
      <c r="C116" s="18" t="inlineStr">
        <is>
          <t>No</t>
        </is>
      </c>
      <c r="D116" s="26" t="n">
        <v>2</v>
      </c>
      <c r="E116" s="18" t="inlineStr">
        <is>
          <t>Zhenyu Song</t>
        </is>
      </c>
    </row>
    <row r="117">
      <c r="A117" s="18" t="inlineStr">
        <is>
          <t>1.23.4</t>
        </is>
      </c>
      <c r="B117" s="25" t="inlineStr">
        <is>
          <t>Sponsor meeting Oct 28</t>
        </is>
      </c>
      <c r="C117" s="18" t="inlineStr">
        <is>
          <t>No</t>
        </is>
      </c>
      <c r="D117" s="26" t="n">
        <v>4</v>
      </c>
      <c r="E117" s="18" t="inlineStr">
        <is>
          <t>All team</t>
        </is>
      </c>
    </row>
    <row r="118">
      <c r="A118" s="18" t="inlineStr">
        <is>
          <t>1.23.5</t>
        </is>
      </c>
      <c r="B118" s="25" t="inlineStr">
        <is>
          <t>Code walkthrough: each owner reviews their module in the team repo</t>
        </is>
      </c>
      <c r="C118" s="18" t="inlineStr">
        <is>
          <t>No</t>
        </is>
      </c>
      <c r="D118" s="26" t="n">
        <v>8</v>
      </c>
      <c r="E118" s="18" t="inlineStr">
        <is>
          <t>All team</t>
        </is>
      </c>
    </row>
    <row r="119">
      <c r="A119" s="18" t="inlineStr">
        <is>
          <t>1.23.6</t>
        </is>
      </c>
      <c r="B119" s="25" t="inlineStr">
        <is>
          <t>Start the shared time log (actual hours per WBS ID)</t>
        </is>
      </c>
      <c r="C119" s="18" t="inlineStr">
        <is>
          <t>No</t>
        </is>
      </c>
      <c r="D119" s="26" t="n">
        <v>1</v>
      </c>
      <c r="E119" s="18" t="inlineStr">
        <is>
          <t>Brandon Lau</t>
        </is>
      </c>
    </row>
    <row r="120">
      <c r="A120" s="22" t="inlineStr">
        <is>
          <t>1.24</t>
        </is>
      </c>
      <c r="B120" s="23" t="inlineStr">
        <is>
          <t>Capstone midterm report and presentation (due Oct 26)</t>
        </is>
      </c>
      <c r="C120" s="18" t="inlineStr">
        <is>
          <t>Yes</t>
        </is>
      </c>
      <c r="D120" s="24">
        <f>SUM(D121:D125)</f>
        <v>16</v>
      </c>
      <c r="E120" s="18" t="n"/>
    </row>
    <row r="121">
      <c r="A121" s="18" t="inlineStr">
        <is>
          <t>1.24.1</t>
        </is>
      </c>
      <c r="B121" s="25" t="inlineStr">
        <is>
          <t>Report: project overview, import pipeline and MOV status</t>
        </is>
      </c>
      <c r="C121" s="18" t="inlineStr">
        <is>
          <t>No</t>
        </is>
      </c>
      <c r="D121" s="26" t="n">
        <v>2</v>
      </c>
      <c r="E121" s="18" t="inlineStr">
        <is>
          <t>Molly Tran</t>
        </is>
      </c>
    </row>
    <row r="122">
      <c r="A122" s="18" t="inlineStr">
        <is>
          <t>1.24.2</t>
        </is>
      </c>
      <c r="B122" s="25" t="inlineStr">
        <is>
          <t>Report: database and deployment</t>
        </is>
      </c>
      <c r="C122" s="18" t="inlineStr">
        <is>
          <t>No</t>
        </is>
      </c>
      <c r="D122" s="26" t="n">
        <v>2</v>
      </c>
      <c r="E122" s="18" t="inlineStr">
        <is>
          <t>Brandon Lau</t>
        </is>
      </c>
    </row>
    <row r="123">
      <c r="A123" s="18" t="inlineStr">
        <is>
          <t>1.24.3</t>
        </is>
      </c>
      <c r="B123" s="25" t="inlineStr">
        <is>
          <t>Report: UI walkthrough with screenshots</t>
        </is>
      </c>
      <c r="C123" s="18" t="inlineStr">
        <is>
          <t>No</t>
        </is>
      </c>
      <c r="D123" s="26" t="n">
        <v>2</v>
      </c>
      <c r="E123" s="18" t="inlineStr">
        <is>
          <t>Jennifer Sun</t>
        </is>
      </c>
    </row>
    <row r="124">
      <c r="A124" s="18" t="inlineStr">
        <is>
          <t>1.24.4</t>
        </is>
      </c>
      <c r="B124" s="25" t="inlineStr">
        <is>
          <t>Report: chatbot design and benchmark results</t>
        </is>
      </c>
      <c r="C124" s="18" t="inlineStr">
        <is>
          <t>No</t>
        </is>
      </c>
      <c r="D124" s="26" t="n">
        <v>2</v>
      </c>
      <c r="E124" s="18" t="inlineStr">
        <is>
          <t>Zhenyu Song</t>
        </is>
      </c>
    </row>
    <row r="125">
      <c r="A125" s="18" t="inlineStr">
        <is>
          <t>1.24.5</t>
        </is>
      </c>
      <c r="B125" s="25" t="inlineStr">
        <is>
          <t>Slides and Sunday rehearsal (1–2 minutes each)</t>
        </is>
      </c>
      <c r="C125" s="18" t="inlineStr">
        <is>
          <t>No</t>
        </is>
      </c>
      <c r="D125" s="26" t="n">
        <v>8</v>
      </c>
      <c r="E125" s="18" t="inlineStr">
        <is>
          <t>All team</t>
        </is>
      </c>
    </row>
    <row r="126">
      <c r="A126" s="22" t="inlineStr">
        <is>
          <t>1.25</t>
        </is>
      </c>
      <c r="B126" s="23" t="inlineStr">
        <is>
          <t>SWE 277P Assignment 5: Work Breakdown Structure (due Oct 27)</t>
        </is>
      </c>
      <c r="C126" s="18" t="inlineStr">
        <is>
          <t>Yes</t>
        </is>
      </c>
      <c r="D126" s="24">
        <f>SUM(D127:D130)</f>
        <v>6</v>
      </c>
      <c r="E126" s="18" t="n"/>
    </row>
    <row r="127">
      <c r="A127" s="18" t="inlineStr">
        <is>
          <t>1.25.1</t>
        </is>
      </c>
      <c r="B127" s="25" t="inlineStr">
        <is>
          <t>Project description and MOV update</t>
        </is>
      </c>
      <c r="C127" s="18" t="inlineStr">
        <is>
          <t>No</t>
        </is>
      </c>
      <c r="D127" s="26" t="n">
        <v>1</v>
      </c>
      <c r="E127" s="18" t="inlineStr">
        <is>
          <t>Brandon Lau</t>
        </is>
      </c>
    </row>
    <row r="128">
      <c r="A128" s="18" t="inlineStr">
        <is>
          <t>1.25.2</t>
        </is>
      </c>
      <c r="B128" s="25" t="inlineStr">
        <is>
          <t>WBS: sprints, tasks, owners and estimates</t>
        </is>
      </c>
      <c r="C128" s="18" t="inlineStr">
        <is>
          <t>No</t>
        </is>
      </c>
      <c r="D128" s="26" t="n">
        <v>3</v>
      </c>
      <c r="E128" s="18" t="inlineStr">
        <is>
          <t>Brandon Lau</t>
        </is>
      </c>
    </row>
    <row r="129">
      <c r="A129" s="18" t="inlineStr">
        <is>
          <t>1.25.3</t>
        </is>
      </c>
      <c r="B129" s="25" t="inlineStr">
        <is>
          <t>Estimation techniques</t>
        </is>
      </c>
      <c r="C129" s="18" t="inlineStr">
        <is>
          <t>No</t>
        </is>
      </c>
      <c r="D129" s="26" t="n">
        <v>1</v>
      </c>
      <c r="E129" s="18" t="inlineStr">
        <is>
          <t>Jennifer Sun</t>
        </is>
      </c>
    </row>
    <row r="130">
      <c r="A130" s="18" t="inlineStr">
        <is>
          <t>1.25.4</t>
        </is>
      </c>
      <c r="B130" s="25" t="inlineStr">
        <is>
          <t>Review and submit</t>
        </is>
      </c>
      <c r="C130" s="18" t="inlineStr">
        <is>
          <t>No</t>
        </is>
      </c>
      <c r="D130" s="26" t="n">
        <v>1</v>
      </c>
      <c r="E130" s="18" t="inlineStr">
        <is>
          <t>Zhenyu Song</t>
        </is>
      </c>
    </row>
    <row r="131">
      <c r="A131" s="22" t="inlineStr">
        <is>
          <t>1.26</t>
        </is>
      </c>
      <c r="B131" s="27" t="inlineStr">
        <is>
          <t>Milestone: MVP passes A1–A10 except A7 (Oct 22); midterm delivered (Oct 26)</t>
        </is>
      </c>
      <c r="C131" s="18" t="inlineStr">
        <is>
          <t>No</t>
        </is>
      </c>
      <c r="D131" s="24" t="n">
        <v>0</v>
      </c>
      <c r="E131" s="18" t="n"/>
    </row>
    <row r="132">
      <c r="A132" s="19" t="inlineStr">
        <is>
          <t>Sprint 2: Sponsor Demo and Backlog Features  |  Nov 3 – Nov 16 (Weeks 6–8)  |  Planned</t>
        </is>
      </c>
      <c r="B132" s="20" t="n"/>
      <c r="C132" s="20" t="n"/>
      <c r="D132" s="20" t="n"/>
      <c r="E132" s="21" t="n"/>
    </row>
    <row r="133">
      <c r="A133" s="22" t="inlineStr">
        <is>
          <t>1.27</t>
        </is>
      </c>
      <c r="B133" s="23" t="inlineStr">
        <is>
          <t>Sprint 2 planning and tracking</t>
        </is>
      </c>
      <c r="C133" s="18" t="inlineStr">
        <is>
          <t>No</t>
        </is>
      </c>
      <c r="D133" s="24">
        <f>SUM(D134:D135)</f>
        <v>10</v>
      </c>
      <c r="E133" s="18" t="n"/>
    </row>
    <row r="134">
      <c r="A134" s="18" t="inlineStr">
        <is>
          <t>1.27.1</t>
        </is>
      </c>
      <c r="B134" s="25" t="inlineStr">
        <is>
          <t>Record Sprint 1 actual hours; plan Sprint 2 (WBS update)</t>
        </is>
      </c>
      <c r="C134" s="18" t="inlineStr">
        <is>
          <t>No</t>
        </is>
      </c>
      <c r="D134" s="26" t="n">
        <v>2</v>
      </c>
      <c r="E134" s="18" t="inlineStr">
        <is>
          <t>Brandon Lau</t>
        </is>
      </c>
    </row>
    <row r="135">
      <c r="A135" s="18" t="inlineStr">
        <is>
          <t>1.27.2</t>
        </is>
      </c>
      <c r="B135" s="25" t="inlineStr">
        <is>
          <t>Weekly team syncs (Nov 3, Nov 10)</t>
        </is>
      </c>
      <c r="C135" s="18" t="inlineStr">
        <is>
          <t>No</t>
        </is>
      </c>
      <c r="D135" s="26" t="n">
        <v>8</v>
      </c>
      <c r="E135" s="18" t="inlineStr">
        <is>
          <t>All team</t>
        </is>
      </c>
    </row>
    <row r="136">
      <c r="A136" s="22" t="inlineStr">
        <is>
          <t>1.28</t>
        </is>
      </c>
      <c r="B136" s="23" t="inlineStr">
        <is>
          <t>Mid-project demo to the sponsor (week 7)</t>
        </is>
      </c>
      <c r="C136" s="18" t="inlineStr">
        <is>
          <t>Yes</t>
        </is>
      </c>
      <c r="D136" s="24">
        <f>SUM(D137:D142)</f>
        <v>10</v>
      </c>
      <c r="E136" s="18" t="n"/>
    </row>
    <row r="137">
      <c r="A137" s="18" t="inlineStr">
        <is>
          <t>1.28.1</t>
        </is>
      </c>
      <c r="B137" s="25" t="inlineStr">
        <is>
          <t>Set the attendance-source note on main's 12twenty events (SF-3)</t>
        </is>
      </c>
      <c r="C137" s="18" t="inlineStr">
        <is>
          <t>No</t>
        </is>
      </c>
      <c r="D137" s="26" t="n">
        <v>1</v>
      </c>
      <c r="E137" s="18" t="inlineStr">
        <is>
          <t>Brandon Lau</t>
        </is>
      </c>
    </row>
    <row r="138">
      <c r="A138" s="18" t="inlineStr">
        <is>
          <t>1.28.2</t>
        </is>
      </c>
      <c r="B138" s="25" t="inlineStr">
        <is>
          <t>Rebuild the main stack; click through every page with a real AI model</t>
        </is>
      </c>
      <c r="C138" s="18" t="inlineStr">
        <is>
          <t>No</t>
        </is>
      </c>
      <c r="D138" s="26" t="n">
        <v>1</v>
      </c>
      <c r="E138" s="18" t="inlineStr">
        <is>
          <t>Brandon Lau</t>
        </is>
      </c>
    </row>
    <row r="139">
      <c r="A139" s="18" t="inlineStr">
        <is>
          <t>1.28.3</t>
        </is>
      </c>
      <c r="B139" s="25" t="inlineStr">
        <is>
          <t>Try an Excel and a CSV export in Safari</t>
        </is>
      </c>
      <c r="C139" s="18" t="inlineStr">
        <is>
          <t>No</t>
        </is>
      </c>
      <c r="D139" s="26" t="n">
        <v>1</v>
      </c>
      <c r="E139" s="18" t="inlineStr">
        <is>
          <t>Jennifer Sun</t>
        </is>
      </c>
    </row>
    <row r="140">
      <c r="A140" s="18" t="inlineStr">
        <is>
          <t>1.28.4</t>
        </is>
      </c>
      <c r="B140" s="25" t="inlineStr">
        <is>
          <t>Demo script and dry run (README story order)</t>
        </is>
      </c>
      <c r="C140" s="18" t="inlineStr">
        <is>
          <t>No</t>
        </is>
      </c>
      <c r="D140" s="26" t="n">
        <v>2</v>
      </c>
      <c r="E140" s="18" t="inlineStr">
        <is>
          <t>Brandon Lau</t>
        </is>
      </c>
    </row>
    <row r="141">
      <c r="A141" s="18" t="inlineStr">
        <is>
          <t>1.28.5</t>
        </is>
      </c>
      <c r="B141" s="25" t="inlineStr">
        <is>
          <t>Demo to the sponsor and collect feedback</t>
        </is>
      </c>
      <c r="C141" s="18" t="inlineStr">
        <is>
          <t>No</t>
        </is>
      </c>
      <c r="D141" s="26" t="n">
        <v>4</v>
      </c>
      <c r="E141" s="18" t="inlineStr">
        <is>
          <t>All team</t>
        </is>
      </c>
    </row>
    <row r="142">
      <c r="A142" s="18" t="inlineStr">
        <is>
          <t>1.28.6</t>
        </is>
      </c>
      <c r="B142" s="25" t="inlineStr">
        <is>
          <t>Ask the sponsor: result sharing (D1), waitlisted registrants, postdocs as students, Notes wording</t>
        </is>
      </c>
      <c r="C142" s="18" t="inlineStr">
        <is>
          <t>No</t>
        </is>
      </c>
      <c r="D142" s="26" t="n">
        <v>1</v>
      </c>
      <c r="E142" s="18" t="inlineStr">
        <is>
          <t>Brandon Lau</t>
        </is>
      </c>
    </row>
    <row r="143">
      <c r="A143" s="22" t="inlineStr">
        <is>
          <t>1.29</t>
        </is>
      </c>
      <c r="B143" s="23" t="inlineStr">
        <is>
          <t>B4 Warn when an event is uploaded a second time (bug, high; SF-1)</t>
        </is>
      </c>
      <c r="C143" s="18" t="inlineStr">
        <is>
          <t>Yes</t>
        </is>
      </c>
      <c r="D143" s="24">
        <f>SUM(D144:D148)</f>
        <v>8</v>
      </c>
      <c r="E143" s="18" t="n"/>
    </row>
    <row r="144">
      <c r="A144" s="18" t="inlineStr">
        <is>
          <t>1.29.1</t>
        </is>
      </c>
      <c r="B144" s="25" t="inlineStr">
        <is>
          <t>Design draft: preview warning with Replace, Add anyway and Cancel</t>
        </is>
      </c>
      <c r="C144" s="18" t="inlineStr">
        <is>
          <t>No</t>
        </is>
      </c>
      <c r="D144" s="26" t="n">
        <v>1</v>
      </c>
      <c r="E144" s="18" t="inlineStr">
        <is>
          <t>Jennifer Sun</t>
        </is>
      </c>
    </row>
    <row r="145">
      <c r="A145" s="18" t="inlineStr">
        <is>
          <t>1.29.2</t>
        </is>
      </c>
      <c r="B145" s="25" t="inlineStr">
        <is>
          <t>Detect an existing event with the same name and term, or mostly the same people</t>
        </is>
      </c>
      <c r="C145" s="18" t="inlineStr">
        <is>
          <t>No</t>
        </is>
      </c>
      <c r="D145" s="26" t="n">
        <v>2</v>
      </c>
      <c r="E145" s="18" t="inlineStr">
        <is>
          <t>Molly Tran</t>
        </is>
      </c>
    </row>
    <row r="146">
      <c r="A146" s="18" t="inlineStr">
        <is>
          <t>1.29.3</t>
        </is>
      </c>
      <c r="B146" s="25" t="inlineStr">
        <is>
          <t>Preview warning and the three choices</t>
        </is>
      </c>
      <c r="C146" s="18" t="inlineStr">
        <is>
          <t>No</t>
        </is>
      </c>
      <c r="D146" s="26" t="n">
        <v>2</v>
      </c>
      <c r="E146" s="18" t="inlineStr">
        <is>
          <t>Jennifer Sun</t>
        </is>
      </c>
    </row>
    <row r="147">
      <c r="A147" s="18" t="inlineStr">
        <is>
          <t>1.29.4</t>
        </is>
      </c>
      <c r="B147" s="25" t="inlineStr">
        <is>
          <t>Replace an event's rows in one transaction</t>
        </is>
      </c>
      <c r="C147" s="18" t="inlineStr">
        <is>
          <t>No</t>
        </is>
      </c>
      <c r="D147" s="26" t="n">
        <v>2</v>
      </c>
      <c r="E147" s="18" t="inlineStr">
        <is>
          <t>Molly Tran</t>
        </is>
      </c>
    </row>
    <row r="148">
      <c r="A148" s="18" t="inlineStr">
        <is>
          <t>1.29.5</t>
        </is>
      </c>
      <c r="B148" s="25" t="inlineStr">
        <is>
          <t>Test the 35-row then 38-row download; Chat must answer 38</t>
        </is>
      </c>
      <c r="C148" s="18" t="inlineStr">
        <is>
          <t>No</t>
        </is>
      </c>
      <c r="D148" s="26" t="n">
        <v>1</v>
      </c>
      <c r="E148" s="18" t="inlineStr">
        <is>
          <t>Jennifer Sun</t>
        </is>
      </c>
    </row>
    <row r="149">
      <c r="A149" s="22" t="inlineStr">
        <is>
          <t>1.30</t>
        </is>
      </c>
      <c r="B149" s="23" t="inlineStr">
        <is>
          <t>Delete a committed import (handoff backlog; second half of the B4 fix)</t>
        </is>
      </c>
      <c r="C149" s="18" t="inlineStr">
        <is>
          <t>Yes</t>
        </is>
      </c>
      <c r="D149" s="24">
        <f>SUM(D150:D152)</f>
        <v>4</v>
      </c>
      <c r="E149" s="18" t="n"/>
    </row>
    <row r="150">
      <c r="A150" s="18" t="inlineStr">
        <is>
          <t>1.30.1</t>
        </is>
      </c>
      <c r="B150" s="25" t="inlineStr">
        <is>
          <t>Delete API: remove the event, its rows and its flags</t>
        </is>
      </c>
      <c r="C150" s="18" t="inlineStr">
        <is>
          <t>No</t>
        </is>
      </c>
      <c r="D150" s="26" t="n">
        <v>2</v>
      </c>
      <c r="E150" s="18" t="inlineStr">
        <is>
          <t>Molly Tran</t>
        </is>
      </c>
    </row>
    <row r="151">
      <c r="A151" s="18" t="inlineStr">
        <is>
          <t>1.30.2</t>
        </is>
      </c>
      <c r="B151" s="25" t="inlineStr">
        <is>
          <t>Delete button with a confirm step on the Dataset page</t>
        </is>
      </c>
      <c r="C151" s="18" t="inlineStr">
        <is>
          <t>No</t>
        </is>
      </c>
      <c r="D151" s="26" t="n">
        <v>1</v>
      </c>
      <c r="E151" s="18" t="inlineStr">
        <is>
          <t>Jennifer Sun</t>
        </is>
      </c>
    </row>
    <row r="152">
      <c r="A152" s="18" t="inlineStr">
        <is>
          <t>1.30.3</t>
        </is>
      </c>
      <c r="B152" s="25" t="inlineStr">
        <is>
          <t>Tests</t>
        </is>
      </c>
      <c r="C152" s="18" t="inlineStr">
        <is>
          <t>No</t>
        </is>
      </c>
      <c r="D152" s="26" t="n">
        <v>1</v>
      </c>
      <c r="E152" s="18" t="inlineStr">
        <is>
          <t>Molly Tran</t>
        </is>
      </c>
    </row>
    <row r="153">
      <c r="A153" s="22" t="inlineStr">
        <is>
          <t>1.31</t>
        </is>
      </c>
      <c r="B153" s="23" t="inlineStr">
        <is>
          <t>B1 Delete a conversation and set a retention period</t>
        </is>
      </c>
      <c r="C153" s="18" t="inlineStr">
        <is>
          <t>Yes</t>
        </is>
      </c>
      <c r="D153" s="24">
        <f>SUM(D154:D159)</f>
        <v>9</v>
      </c>
      <c r="E153" s="18" t="n"/>
    </row>
    <row r="154">
      <c r="A154" s="18" t="inlineStr">
        <is>
          <t>1.31.1</t>
        </is>
      </c>
      <c r="B154" s="25" t="inlineStr">
        <is>
          <t>Design draft; ask the sponsor about UCI retention and the query log</t>
        </is>
      </c>
      <c r="C154" s="18" t="inlineStr">
        <is>
          <t>No</t>
        </is>
      </c>
      <c r="D154" s="26" t="n">
        <v>1</v>
      </c>
      <c r="E154" s="18" t="inlineStr">
        <is>
          <t>Zhenyu Song</t>
        </is>
      </c>
    </row>
    <row r="155">
      <c r="A155" s="18" t="inlineStr">
        <is>
          <t>1.31.2</t>
        </is>
      </c>
      <c r="B155" s="25" t="inlineStr">
        <is>
          <t>Delete API for a conversation (its turns go with it)</t>
        </is>
      </c>
      <c r="C155" s="18" t="inlineStr">
        <is>
          <t>No</t>
        </is>
      </c>
      <c r="D155" s="26" t="n">
        <v>1</v>
      </c>
      <c r="E155" s="18" t="inlineStr">
        <is>
          <t>Zhenyu Song</t>
        </is>
      </c>
    </row>
    <row r="156">
      <c r="A156" s="18" t="inlineStr">
        <is>
          <t>1.31.3</t>
        </is>
      </c>
      <c r="B156" s="25" t="inlineStr">
        <is>
          <t>App settings table and retention setting (never, 6, 3 or 1 month)</t>
        </is>
      </c>
      <c r="C156" s="18" t="inlineStr">
        <is>
          <t>No</t>
        </is>
      </c>
      <c r="D156" s="26" t="n">
        <v>2</v>
      </c>
      <c r="E156" s="18" t="inlineStr">
        <is>
          <t>Brandon Lau</t>
        </is>
      </c>
    </row>
    <row r="157">
      <c r="A157" s="18" t="inlineStr">
        <is>
          <t>1.31.4</t>
        </is>
      </c>
      <c r="B157" s="25" t="inlineStr">
        <is>
          <t>Cleanup job that deletes conversations past the retention period</t>
        </is>
      </c>
      <c r="C157" s="18" t="inlineStr">
        <is>
          <t>No</t>
        </is>
      </c>
      <c r="D157" s="26" t="n">
        <v>2</v>
      </c>
      <c r="E157" s="18" t="inlineStr">
        <is>
          <t>Zhenyu Song</t>
        </is>
      </c>
    </row>
    <row r="158">
      <c r="A158" s="18" t="inlineStr">
        <is>
          <t>1.31.5</t>
        </is>
      </c>
      <c r="B158" s="25" t="inlineStr">
        <is>
          <t>Delete in Recent questions; retention choice in Settings</t>
        </is>
      </c>
      <c r="C158" s="18" t="inlineStr">
        <is>
          <t>No</t>
        </is>
      </c>
      <c r="D158" s="26" t="n">
        <v>2</v>
      </c>
      <c r="E158" s="18" t="inlineStr">
        <is>
          <t>Jennifer Sun</t>
        </is>
      </c>
    </row>
    <row r="159">
      <c r="A159" s="18" t="inlineStr">
        <is>
          <t>1.31.6</t>
        </is>
      </c>
      <c r="B159" s="25" t="inlineStr">
        <is>
          <t>Tests</t>
        </is>
      </c>
      <c r="C159" s="18" t="inlineStr">
        <is>
          <t>No</t>
        </is>
      </c>
      <c r="D159" s="26" t="n">
        <v>1</v>
      </c>
      <c r="E159" s="18" t="inlineStr">
        <is>
          <t>Zhenyu Song</t>
        </is>
      </c>
    </row>
    <row r="160">
      <c r="A160" s="22" t="inlineStr">
        <is>
          <t>1.32</t>
        </is>
      </c>
      <c r="B160" s="23" t="inlineStr">
        <is>
          <t>B2 Downloads page for AI results</t>
        </is>
      </c>
      <c r="C160" s="18" t="inlineStr">
        <is>
          <t>Yes</t>
        </is>
      </c>
      <c r="D160" s="24">
        <f>SUM(D161:D164)</f>
        <v>5</v>
      </c>
      <c r="E160" s="18" t="n"/>
    </row>
    <row r="161">
      <c r="A161" s="18" t="inlineStr">
        <is>
          <t>1.32.1</t>
        </is>
      </c>
      <c r="B161" s="25" t="inlineStr">
        <is>
          <t>Design draft: which answers to list; name and icon in the side nav</t>
        </is>
      </c>
      <c r="C161" s="18" t="inlineStr">
        <is>
          <t>No</t>
        </is>
      </c>
      <c r="D161" s="26" t="n">
        <v>1</v>
      </c>
      <c r="E161" s="18" t="inlineStr">
        <is>
          <t>Jennifer Sun</t>
        </is>
      </c>
    </row>
    <row r="162">
      <c r="A162" s="18" t="inlineStr">
        <is>
          <t>1.32.2</t>
        </is>
      </c>
      <c r="B162" s="25" t="inlineStr">
        <is>
          <t>API that lists answers (question, date, row count)</t>
        </is>
      </c>
      <c r="C162" s="18" t="inlineStr">
        <is>
          <t>No</t>
        </is>
      </c>
      <c r="D162" s="26" t="n">
        <v>1</v>
      </c>
      <c r="E162" s="18" t="inlineStr">
        <is>
          <t>Zhenyu Song</t>
        </is>
      </c>
    </row>
    <row r="163">
      <c r="A163" s="18" t="inlineStr">
        <is>
          <t>1.32.3</t>
        </is>
      </c>
      <c r="B163" s="25" t="inlineStr">
        <is>
          <t>Downloads page with Excel and CSV buttons</t>
        </is>
      </c>
      <c r="C163" s="18" t="inlineStr">
        <is>
          <t>No</t>
        </is>
      </c>
      <c r="D163" s="26" t="n">
        <v>2</v>
      </c>
      <c r="E163" s="18" t="inlineStr">
        <is>
          <t>Jennifer Sun</t>
        </is>
      </c>
    </row>
    <row r="164">
      <c r="A164" s="18" t="inlineStr">
        <is>
          <t>1.32.4</t>
        </is>
      </c>
      <c r="B164" s="25" t="inlineStr">
        <is>
          <t>Tests</t>
        </is>
      </c>
      <c r="C164" s="18" t="inlineStr">
        <is>
          <t>No</t>
        </is>
      </c>
      <c r="D164" s="26" t="n">
        <v>1</v>
      </c>
      <c r="E164" s="18" t="inlineStr">
        <is>
          <t>Jennifer Sun</t>
        </is>
      </c>
    </row>
    <row r="165">
      <c r="A165" s="22" t="inlineStr">
        <is>
          <t>1.33</t>
        </is>
      </c>
      <c r="B165" s="23" t="inlineStr">
        <is>
          <t>B3 Insights button on the Dataset page</t>
        </is>
      </c>
      <c r="C165" s="18" t="inlineStr">
        <is>
          <t>Yes</t>
        </is>
      </c>
      <c r="D165" s="24">
        <f>SUM(D166:D169)</f>
        <v>4</v>
      </c>
      <c r="E165" s="18" t="n"/>
    </row>
    <row r="166">
      <c r="A166" s="18" t="inlineStr">
        <is>
          <t>1.33.1</t>
        </is>
      </c>
      <c r="B166" s="25" t="inlineStr">
        <is>
          <t>Spike: how the chatbot answers an open "insights" question</t>
        </is>
      </c>
      <c r="C166" s="18" t="inlineStr">
        <is>
          <t>No</t>
        </is>
      </c>
      <c r="D166" s="26" t="n">
        <v>1</v>
      </c>
      <c r="E166" s="18" t="inlineStr">
        <is>
          <t>Zhenyu Song</t>
        </is>
      </c>
    </row>
    <row r="167">
      <c r="A167" s="18" t="inlineStr">
        <is>
          <t>1.33.2</t>
        </is>
      </c>
      <c r="B167" s="25" t="inlineStr">
        <is>
          <t>Preset question set: by event, by school, repeat attendees, by term</t>
        </is>
      </c>
      <c r="C167" s="18" t="inlineStr">
        <is>
          <t>No</t>
        </is>
      </c>
      <c r="D167" s="26" t="n">
        <v>1</v>
      </c>
      <c r="E167" s="18" t="inlineStr">
        <is>
          <t>Zhenyu Song</t>
        </is>
      </c>
    </row>
    <row r="168">
      <c r="A168" s="18" t="inlineStr">
        <is>
          <t>1.33.3</t>
        </is>
      </c>
      <c r="B168" s="25" t="inlineStr">
        <is>
          <t>Insights button opens a new chat and sends the set</t>
        </is>
      </c>
      <c r="C168" s="18" t="inlineStr">
        <is>
          <t>No</t>
        </is>
      </c>
      <c r="D168" s="26" t="n">
        <v>1</v>
      </c>
      <c r="E168" s="18" t="inlineStr">
        <is>
          <t>Jennifer Sun</t>
        </is>
      </c>
    </row>
    <row r="169">
      <c r="A169" s="18" t="inlineStr">
        <is>
          <t>1.33.4</t>
        </is>
      </c>
      <c r="B169" s="25" t="inlineStr">
        <is>
          <t>Re-run the benchmark (main and held-out)</t>
        </is>
      </c>
      <c r="C169" s="18" t="inlineStr">
        <is>
          <t>No</t>
        </is>
      </c>
      <c r="D169" s="26" t="n">
        <v>1</v>
      </c>
      <c r="E169" s="18" t="inlineStr">
        <is>
          <t>Zhenyu Song</t>
        </is>
      </c>
    </row>
    <row r="170">
      <c r="A170" s="22" t="inlineStr">
        <is>
          <t>1.34</t>
        </is>
      </c>
      <c r="B170" s="23" t="inlineStr">
        <is>
          <t>Fixes from the sponsor walkthrough (SF-2, SF-4, SF-5, SF-9)</t>
        </is>
      </c>
      <c r="C170" s="18" t="inlineStr">
        <is>
          <t>Yes</t>
        </is>
      </c>
      <c r="D170" s="24">
        <f>SUM(D171:D174)</f>
        <v>5</v>
      </c>
      <c r="E170" s="18" t="n"/>
    </row>
    <row r="171">
      <c r="A171" s="18" t="inlineStr">
        <is>
          <t>1.34.1</t>
        </is>
      </c>
      <c r="B171" s="25" t="inlineStr">
        <is>
          <t>SF-2: warn at upload when the event date is blank</t>
        </is>
      </c>
      <c r="C171" s="18" t="inlineStr">
        <is>
          <t>No</t>
        </is>
      </c>
      <c r="D171" s="26" t="n">
        <v>1</v>
      </c>
      <c r="E171" s="18" t="inlineStr">
        <is>
          <t>Molly Tran</t>
        </is>
      </c>
    </row>
    <row r="172">
      <c r="A172" s="18" t="inlineStr">
        <is>
          <t>1.34.2</t>
        </is>
      </c>
      <c r="B172" s="25" t="inlineStr">
        <is>
          <t>SF-4: write the local summary as a sentence when sharing is off</t>
        </is>
      </c>
      <c r="C172" s="18" t="inlineStr">
        <is>
          <t>No</t>
        </is>
      </c>
      <c r="D172" s="26" t="n">
        <v>2</v>
      </c>
      <c r="E172" s="18" t="inlineStr">
        <is>
          <t>Zhenyu Song</t>
        </is>
      </c>
    </row>
    <row r="173">
      <c r="A173" s="18" t="inlineStr">
        <is>
          <t>1.34.3</t>
        </is>
      </c>
      <c r="B173" s="25" t="inlineStr">
        <is>
          <t>SF-5: refer to people by name in readings; re-run the benchmark</t>
        </is>
      </c>
      <c r="C173" s="18" t="inlineStr">
        <is>
          <t>No</t>
        </is>
      </c>
      <c r="D173" s="26" t="n">
        <v>1</v>
      </c>
      <c r="E173" s="18" t="inlineStr">
        <is>
          <t>Zhenyu Song</t>
        </is>
      </c>
    </row>
    <row r="174">
      <c r="A174" s="18" t="inlineStr">
        <is>
          <t>1.34.4</t>
        </is>
      </c>
      <c r="B174" s="25" t="inlineStr">
        <is>
          <t>SF-9: title-case the export headers and name the sheet</t>
        </is>
      </c>
      <c r="C174" s="18" t="inlineStr">
        <is>
          <t>No</t>
        </is>
      </c>
      <c r="D174" s="26" t="n">
        <v>1</v>
      </c>
      <c r="E174" s="18" t="inlineStr">
        <is>
          <t>Molly Tran</t>
        </is>
      </c>
    </row>
    <row r="175">
      <c r="A175" s="22" t="inlineStr">
        <is>
          <t>1.35</t>
        </is>
      </c>
      <c r="B175" s="23" t="inlineStr">
        <is>
          <t>AI provider funding and second benchmark (A4)</t>
        </is>
      </c>
      <c r="C175" s="18" t="inlineStr">
        <is>
          <t>No</t>
        </is>
      </c>
      <c r="D175" s="24">
        <f>SUM(D176:D177)</f>
        <v>3</v>
      </c>
      <c r="E175" s="18" t="n"/>
    </row>
    <row r="176">
      <c r="A176" s="18" t="inlineStr">
        <is>
          <t>1.35.1</t>
        </is>
      </c>
      <c r="B176" s="25" t="inlineStr">
        <is>
          <t>Set up the funded provider account with spending limits</t>
        </is>
      </c>
      <c r="C176" s="18" t="inlineStr">
        <is>
          <t>No</t>
        </is>
      </c>
      <c r="D176" s="26" t="n">
        <v>1</v>
      </c>
      <c r="E176" s="18" t="inlineStr">
        <is>
          <t>Zhenyu Song</t>
        </is>
      </c>
    </row>
    <row r="177">
      <c r="A177" s="18" t="inlineStr">
        <is>
          <t>1.35.2</t>
        </is>
      </c>
      <c r="B177" s="25" t="inlineStr">
        <is>
          <t>Benchmark a second provider (ZotGPT or OpenAI)</t>
        </is>
      </c>
      <c r="C177" s="18" t="inlineStr">
        <is>
          <t>No</t>
        </is>
      </c>
      <c r="D177" s="26" t="n">
        <v>2</v>
      </c>
      <c r="E177" s="18" t="inlineStr">
        <is>
          <t>Zhenyu Song</t>
        </is>
      </c>
    </row>
    <row r="178">
      <c r="A178" s="22" t="inlineStr">
        <is>
          <t>1.36</t>
        </is>
      </c>
      <c r="B178" s="23" t="inlineStr">
        <is>
          <t>Import improvements (handoff backlog)</t>
        </is>
      </c>
      <c r="C178" s="18" t="inlineStr">
        <is>
          <t>Yes</t>
        </is>
      </c>
      <c r="D178" s="24">
        <f>SUM(D179:D181)</f>
        <v>6</v>
      </c>
      <c r="E178" s="18" t="n"/>
    </row>
    <row r="179">
      <c r="A179" s="18" t="inlineStr">
        <is>
          <t>1.36.1</t>
        </is>
      </c>
      <c r="B179" s="25" t="inlineStr">
        <is>
          <t>Edit the event details of a committed import</t>
        </is>
      </c>
      <c r="C179" s="18" t="inlineStr">
        <is>
          <t>No</t>
        </is>
      </c>
      <c r="D179" s="26" t="n">
        <v>2</v>
      </c>
      <c r="E179" s="18" t="inlineStr">
        <is>
          <t>Molly Tran</t>
        </is>
      </c>
    </row>
    <row r="180">
      <c r="A180" s="18" t="inlineStr">
        <is>
          <t>1.36.2</t>
        </is>
      </c>
      <c r="B180" s="25" t="inlineStr">
        <is>
          <t>Attach a second file to an existing event</t>
        </is>
      </c>
      <c r="C180" s="18" t="inlineStr">
        <is>
          <t>No</t>
        </is>
      </c>
      <c r="D180" s="26" t="n">
        <v>2</v>
      </c>
      <c r="E180" s="18" t="inlineStr">
        <is>
          <t>Molly Tran</t>
        </is>
      </c>
    </row>
    <row r="181">
      <c r="A181" s="18" t="inlineStr">
        <is>
          <t>1.36.3</t>
        </is>
      </c>
      <c r="B181" s="25" t="inlineStr">
        <is>
          <t>Edit and attach controls on the Dataset page</t>
        </is>
      </c>
      <c r="C181" s="18" t="inlineStr">
        <is>
          <t>No</t>
        </is>
      </c>
      <c r="D181" s="26" t="n">
        <v>2</v>
      </c>
      <c r="E181" s="18" t="inlineStr">
        <is>
          <t>Jennifer Sun</t>
        </is>
      </c>
    </row>
    <row r="182">
      <c r="A182" s="22" t="inlineStr">
        <is>
          <t>1.37</t>
        </is>
      </c>
      <c r="B182" s="23" t="inlineStr">
        <is>
          <t>Regression check and docs</t>
        </is>
      </c>
      <c r="C182" s="18" t="inlineStr">
        <is>
          <t>No</t>
        </is>
      </c>
      <c r="D182" s="24">
        <f>SUM(D183:D185)</f>
        <v>5</v>
      </c>
      <c r="E182" s="18" t="n"/>
    </row>
    <row r="183">
      <c r="A183" s="18" t="inlineStr">
        <is>
          <t>1.37.1</t>
        </is>
      </c>
      <c r="B183" s="25" t="inlineStr">
        <is>
          <t>Re-walk the user stories that B1–B4 touch</t>
        </is>
      </c>
      <c r="C183" s="18" t="inlineStr">
        <is>
          <t>No</t>
        </is>
      </c>
      <c r="D183" s="26" t="n">
        <v>2</v>
      </c>
      <c r="E183" s="18" t="inlineStr">
        <is>
          <t>Jennifer Sun</t>
        </is>
      </c>
    </row>
    <row r="184">
      <c r="A184" s="18" t="inlineStr">
        <is>
          <t>1.37.2</t>
        </is>
      </c>
      <c r="B184" s="25" t="inlineStr">
        <is>
          <t>Full acceptance run and benchmark</t>
        </is>
      </c>
      <c r="C184" s="18" t="inlineStr">
        <is>
          <t>No</t>
        </is>
      </c>
      <c r="D184" s="26" t="n">
        <v>1</v>
      </c>
      <c r="E184" s="18" t="inlineStr">
        <is>
          <t>Brandon Lau</t>
        </is>
      </c>
    </row>
    <row r="185">
      <c r="A185" s="18" t="inlineStr">
        <is>
          <t>1.37.3</t>
        </is>
      </c>
      <c r="B185" s="25" t="inlineStr">
        <is>
          <t>Update the user guide and known limitations for B1–B4</t>
        </is>
      </c>
      <c r="C185" s="18" t="inlineStr">
        <is>
          <t>No</t>
        </is>
      </c>
      <c r="D185" s="26" t="n">
        <v>2</v>
      </c>
      <c r="E185" s="18" t="inlineStr">
        <is>
          <t>Brandon Lau</t>
        </is>
      </c>
    </row>
    <row r="186">
      <c r="A186" s="22" t="inlineStr">
        <is>
          <t>1.38</t>
        </is>
      </c>
      <c r="B186" s="23" t="inlineStr">
        <is>
          <t>SWE 277P schedule and cost assignments (placeholder; dates TBA)</t>
        </is>
      </c>
      <c r="C186" s="18" t="inlineStr">
        <is>
          <t>Yes</t>
        </is>
      </c>
      <c r="D186" s="24">
        <f>SUM(D187:D189)</f>
        <v>6</v>
      </c>
      <c r="E186" s="18" t="n"/>
    </row>
    <row r="187">
      <c r="A187" s="18" t="inlineStr">
        <is>
          <t>1.38.1</t>
        </is>
      </c>
      <c r="B187" s="25" t="inlineStr">
        <is>
          <t>Project schedule from this WBS</t>
        </is>
      </c>
      <c r="C187" s="18" t="inlineStr">
        <is>
          <t>No</t>
        </is>
      </c>
      <c r="D187" s="26" t="n">
        <v>3</v>
      </c>
      <c r="E187" s="18" t="inlineStr">
        <is>
          <t>Brandon Lau</t>
        </is>
      </c>
    </row>
    <row r="188">
      <c r="A188" s="18" t="inlineStr">
        <is>
          <t>1.38.2</t>
        </is>
      </c>
      <c r="B188" s="25" t="inlineStr">
        <is>
          <t>Cost estimate from the WBS hours</t>
        </is>
      </c>
      <c r="C188" s="18" t="inlineStr">
        <is>
          <t>No</t>
        </is>
      </c>
      <c r="D188" s="26" t="n">
        <v>2</v>
      </c>
      <c r="E188" s="18" t="inlineStr">
        <is>
          <t>Brandon Lau</t>
        </is>
      </c>
    </row>
    <row r="189">
      <c r="A189" s="18" t="inlineStr">
        <is>
          <t>1.38.3</t>
        </is>
      </c>
      <c r="B189" s="25" t="inlineStr">
        <is>
          <t>Review</t>
        </is>
      </c>
      <c r="C189" s="18" t="inlineStr">
        <is>
          <t>No</t>
        </is>
      </c>
      <c r="D189" s="26" t="n">
        <v>1</v>
      </c>
      <c r="E189" s="18" t="inlineStr">
        <is>
          <t>Brandon Lau</t>
        </is>
      </c>
    </row>
    <row r="190">
      <c r="A190" s="22" t="inlineStr">
        <is>
          <t>1.39</t>
        </is>
      </c>
      <c r="B190" s="27" t="inlineStr">
        <is>
          <t>Milestone: sponsor demo given; B1–B4 built and tested</t>
        </is>
      </c>
      <c r="C190" s="18" t="inlineStr">
        <is>
          <t>No</t>
        </is>
      </c>
      <c r="D190" s="24" t="n">
        <v>0</v>
      </c>
      <c r="E190" s="18" t="n"/>
    </row>
    <row r="191">
      <c r="A191" s="19" t="inlineStr">
        <is>
          <t>Sprint 3: Hardening, Handoff and Final Delivery  |  Nov 17 – Dec 7 (Weeks 8–10, showcase)  |  Planned</t>
        </is>
      </c>
      <c r="B191" s="20" t="n"/>
      <c r="C191" s="20" t="n"/>
      <c r="D191" s="20" t="n"/>
      <c r="E191" s="21" t="n"/>
    </row>
    <row r="192">
      <c r="A192" s="22" t="inlineStr">
        <is>
          <t>1.40</t>
        </is>
      </c>
      <c r="B192" s="23" t="inlineStr">
        <is>
          <t>Sprint 3 planning and meetings</t>
        </is>
      </c>
      <c r="C192" s="18" t="inlineStr">
        <is>
          <t>No</t>
        </is>
      </c>
      <c r="D192" s="24">
        <f>SUM(D193:D195)</f>
        <v>18</v>
      </c>
      <c r="E192" s="18" t="n"/>
    </row>
    <row r="193">
      <c r="A193" s="18" t="inlineStr">
        <is>
          <t>1.40.1</t>
        </is>
      </c>
      <c r="B193" s="25" t="inlineStr">
        <is>
          <t>Record Sprint 2 actual hours; plan Sprint 3</t>
        </is>
      </c>
      <c r="C193" s="18" t="inlineStr">
        <is>
          <t>No</t>
        </is>
      </c>
      <c r="D193" s="26" t="n">
        <v>2</v>
      </c>
      <c r="E193" s="18" t="inlineStr">
        <is>
          <t>Brandon Lau</t>
        </is>
      </c>
    </row>
    <row r="194">
      <c r="A194" s="18" t="inlineStr">
        <is>
          <t>1.40.2</t>
        </is>
      </c>
      <c r="B194" s="25" t="inlineStr">
        <is>
          <t>Weekly team syncs (Nov 17, Nov 24, Dec 1)</t>
        </is>
      </c>
      <c r="C194" s="18" t="inlineStr">
        <is>
          <t>No</t>
        </is>
      </c>
      <c r="D194" s="26" t="n">
        <v>8</v>
      </c>
      <c r="E194" s="18" t="inlineStr">
        <is>
          <t>All team</t>
        </is>
      </c>
    </row>
    <row r="195">
      <c r="A195" s="18" t="inlineStr">
        <is>
          <t>1.40.3</t>
        </is>
      </c>
      <c r="B195" s="25" t="inlineStr">
        <is>
          <t>Sponsor meetings (Nov 18, Dec 2; Nov 25 skipped for Thanksgiving)</t>
        </is>
      </c>
      <c r="C195" s="18" t="inlineStr">
        <is>
          <t>No</t>
        </is>
      </c>
      <c r="D195" s="26" t="n">
        <v>8</v>
      </c>
      <c r="E195" s="18" t="inlineStr">
        <is>
          <t>All team</t>
        </is>
      </c>
    </row>
    <row r="196">
      <c r="A196" s="22" t="inlineStr">
        <is>
          <t>1.41</t>
        </is>
      </c>
      <c r="B196" s="23" t="inlineStr">
        <is>
          <t>Staff login (handoff backlog; acceptance test A7)</t>
        </is>
      </c>
      <c r="C196" s="18" t="inlineStr">
        <is>
          <t>Yes</t>
        </is>
      </c>
      <c r="D196" s="24">
        <f>SUM(D197:D200)</f>
        <v>7</v>
      </c>
      <c r="E196" s="18" t="n"/>
    </row>
    <row r="197">
      <c r="A197" s="18" t="inlineStr">
        <is>
          <t>1.41.1</t>
        </is>
      </c>
      <c r="B197" s="25" t="inlineStr">
        <is>
          <t>Confirm with the sponsor: one staff account or several</t>
        </is>
      </c>
      <c r="C197" s="18" t="inlineStr">
        <is>
          <t>No</t>
        </is>
      </c>
      <c r="D197" s="26" t="n">
        <v>1</v>
      </c>
      <c r="E197" s="18" t="inlineStr">
        <is>
          <t>Brandon Lau</t>
        </is>
      </c>
    </row>
    <row r="198">
      <c r="A198" s="18" t="inlineStr">
        <is>
          <t>1.41.2</t>
        </is>
      </c>
      <c r="B198" s="25" t="inlineStr">
        <is>
          <t>AUTH_MODE=password: password hash, login and logout routes, httpOnly cookie</t>
        </is>
      </c>
      <c r="C198" s="18" t="inlineStr">
        <is>
          <t>No</t>
        </is>
      </c>
      <c r="D198" s="26" t="n">
        <v>3</v>
      </c>
      <c r="E198" s="18" t="inlineStr">
        <is>
          <t>Molly Tran</t>
        </is>
      </c>
    </row>
    <row r="199">
      <c r="A199" s="18" t="inlineStr">
        <is>
          <t>1.41.3</t>
        </is>
      </c>
      <c r="B199" s="25" t="inlineStr">
        <is>
          <t>Login page behind AuthGate; handle 401 in the API client</t>
        </is>
      </c>
      <c r="C199" s="18" t="inlineStr">
        <is>
          <t>No</t>
        </is>
      </c>
      <c r="D199" s="26" t="n">
        <v>2</v>
      </c>
      <c r="E199" s="18" t="inlineStr">
        <is>
          <t>Jennifer Sun</t>
        </is>
      </c>
    </row>
    <row r="200">
      <c r="A200" s="18" t="inlineStr">
        <is>
          <t>1.41.4</t>
        </is>
      </c>
      <c r="B200" s="25" t="inlineStr">
        <is>
          <t>A7 acceptance test: no data without signing in</t>
        </is>
      </c>
      <c r="C200" s="18" t="inlineStr">
        <is>
          <t>No</t>
        </is>
      </c>
      <c r="D200" s="26" t="n">
        <v>1</v>
      </c>
      <c r="E200" s="18" t="inlineStr">
        <is>
          <t>Molly Tran</t>
        </is>
      </c>
    </row>
    <row r="201">
      <c r="A201" s="22" t="inlineStr">
        <is>
          <t>1.42</t>
        </is>
      </c>
      <c r="B201" s="23" t="inlineStr">
        <is>
          <t>Prepare for hosting on a UCI OIT server (handoff checklist)</t>
        </is>
      </c>
      <c r="C201" s="18" t="inlineStr">
        <is>
          <t>Yes</t>
        </is>
      </c>
      <c r="D201" s="24">
        <f>SUM(D202:D205)</f>
        <v>7</v>
      </c>
      <c r="E201" s="18" t="n"/>
    </row>
    <row r="202">
      <c r="A202" s="18" t="inlineStr">
        <is>
          <t>1.42.1</t>
        </is>
      </c>
      <c r="B202" s="25" t="inlineStr">
        <is>
          <t>Ask OIT about data classification, hosting and allowed AI providers</t>
        </is>
      </c>
      <c r="C202" s="18" t="inlineStr">
        <is>
          <t>No</t>
        </is>
      </c>
      <c r="D202" s="26" t="n">
        <v>1</v>
      </c>
      <c r="E202" s="18" t="inlineStr">
        <is>
          <t>Brandon Lau</t>
        </is>
      </c>
    </row>
    <row r="203">
      <c r="A203" s="18" t="inlineStr">
        <is>
          <t>1.42.2</t>
        </is>
      </c>
      <c r="B203" s="25" t="inlineStr">
        <is>
          <t>HTTPS at nginx; publish only the HTTPS port</t>
        </is>
      </c>
      <c r="C203" s="18" t="inlineStr">
        <is>
          <t>No</t>
        </is>
      </c>
      <c r="D203" s="26" t="n">
        <v>2</v>
      </c>
      <c r="E203" s="18" t="inlineStr">
        <is>
          <t>Brandon Lau</t>
        </is>
      </c>
    </row>
    <row r="204">
      <c r="A204" s="18" t="inlineStr">
        <is>
          <t>1.42.3</t>
        </is>
      </c>
      <c r="B204" s="25" t="inlineStr">
        <is>
          <t>Secret storage and API key rotation (changing HUB_SECRET_KEY)</t>
        </is>
      </c>
      <c r="C204" s="18" t="inlineStr">
        <is>
          <t>No</t>
        </is>
      </c>
      <c r="D204" s="26" t="n">
        <v>2</v>
      </c>
      <c r="E204" s="18" t="inlineStr">
        <is>
          <t>Brandon Lau</t>
        </is>
      </c>
    </row>
    <row r="205">
      <c r="A205" s="18" t="inlineStr">
        <is>
          <t>1.42.4</t>
        </is>
      </c>
      <c r="B205" s="25" t="inlineStr">
        <is>
          <t>Scheduled pg_dump backups and a restore test</t>
        </is>
      </c>
      <c r="C205" s="18" t="inlineStr">
        <is>
          <t>No</t>
        </is>
      </c>
      <c r="D205" s="26" t="n">
        <v>2</v>
      </c>
      <c r="E205" s="18" t="inlineStr">
        <is>
          <t>Brandon Lau</t>
        </is>
      </c>
    </row>
    <row r="206">
      <c r="A206" s="22" t="inlineStr">
        <is>
          <t>1.43</t>
        </is>
      </c>
      <c r="B206" s="23" t="inlineStr">
        <is>
          <t>CI on the team's GitHub repo</t>
        </is>
      </c>
      <c r="C206" s="18" t="inlineStr">
        <is>
          <t>No</t>
        </is>
      </c>
      <c r="D206" s="24">
        <f>SUM(D207:D208)</f>
        <v>3</v>
      </c>
      <c r="E206" s="18" t="n"/>
    </row>
    <row r="207">
      <c r="A207" s="18" t="inlineStr">
        <is>
          <t>1.43.1</t>
        </is>
      </c>
      <c r="B207" s="25" t="inlineStr">
        <is>
          <t>GitHub Actions: ruff, pytest, Vitest, oxlint and build</t>
        </is>
      </c>
      <c r="C207" s="18" t="inlineStr">
        <is>
          <t>No</t>
        </is>
      </c>
      <c r="D207" s="26" t="n">
        <v>2</v>
      </c>
      <c r="E207" s="18" t="inlineStr">
        <is>
          <t>Brandon Lau</t>
        </is>
      </c>
    </row>
    <row r="208">
      <c r="A208" s="18" t="inlineStr">
        <is>
          <t>1.43.2</t>
        </is>
      </c>
      <c r="B208" s="25" t="inlineStr">
        <is>
          <t>Run the Playwright e2e test in CI</t>
        </is>
      </c>
      <c r="C208" s="18" t="inlineStr">
        <is>
          <t>No</t>
        </is>
      </c>
      <c r="D208" s="26" t="n">
        <v>1</v>
      </c>
      <c r="E208" s="18" t="inlineStr">
        <is>
          <t>Brandon Lau</t>
        </is>
      </c>
    </row>
    <row r="209">
      <c r="A209" s="22" t="inlineStr">
        <is>
          <t>1.44</t>
        </is>
      </c>
      <c r="B209" s="23" t="inlineStr">
        <is>
          <t>ZotGPT support</t>
        </is>
      </c>
      <c r="C209" s="18" t="inlineStr">
        <is>
          <t>No</t>
        </is>
      </c>
      <c r="D209" s="24">
        <f>SUM(D210:D211)</f>
        <v>3</v>
      </c>
      <c r="E209" s="18" t="n"/>
    </row>
    <row r="210">
      <c r="A210" s="18" t="inlineStr">
        <is>
          <t>1.44.1</t>
        </is>
      </c>
      <c r="B210" s="25" t="inlineStr">
        <is>
          <t>Adjust the JSON-mode detection or merge user messages if ZotGPT needs it</t>
        </is>
      </c>
      <c r="C210" s="18" t="inlineStr">
        <is>
          <t>No</t>
        </is>
      </c>
      <c r="D210" s="26" t="n">
        <v>2</v>
      </c>
      <c r="E210" s="18" t="inlineStr">
        <is>
          <t>Zhenyu Song</t>
        </is>
      </c>
    </row>
    <row r="211">
      <c r="A211" s="18" t="inlineStr">
        <is>
          <t>1.44.2</t>
        </is>
      </c>
      <c r="B211" s="25" t="inlineStr">
        <is>
          <t>Benchmark ZotGPT (main and held-out)</t>
        </is>
      </c>
      <c r="C211" s="18" t="inlineStr">
        <is>
          <t>No</t>
        </is>
      </c>
      <c r="D211" s="26" t="n">
        <v>1</v>
      </c>
      <c r="E211" s="18" t="inlineStr">
        <is>
          <t>Zhenyu Song</t>
        </is>
      </c>
    </row>
    <row r="212">
      <c r="A212" s="22" t="inlineStr">
        <is>
          <t>1.45</t>
        </is>
      </c>
      <c r="B212" s="23" t="inlineStr">
        <is>
          <t>P1 features from the extension points (pending sponsor priority)</t>
        </is>
      </c>
      <c r="C212" s="18" t="inlineStr">
        <is>
          <t>Yes</t>
        </is>
      </c>
      <c r="D212" s="24">
        <f>SUM(D213:D219)</f>
        <v>14</v>
      </c>
      <c r="E212" s="18" t="n"/>
    </row>
    <row r="213">
      <c r="A213" s="18" t="inlineStr">
        <is>
          <t>1.45.1</t>
        </is>
      </c>
      <c r="B213" s="25" t="inlineStr">
        <is>
          <t>F11 filter table on the Dataset page (SF-8): route</t>
        </is>
      </c>
      <c r="C213" s="18" t="inlineStr">
        <is>
          <t>No</t>
        </is>
      </c>
      <c r="D213" s="26" t="n">
        <v>1</v>
      </c>
      <c r="E213" s="18" t="inlineStr">
        <is>
          <t>Molly Tran</t>
        </is>
      </c>
    </row>
    <row r="214">
      <c r="A214" s="18" t="inlineStr">
        <is>
          <t>1.45.2</t>
        </is>
      </c>
      <c r="B214" s="25" t="inlineStr">
        <is>
          <t>F11 filter table on the Dataset page (SF-8): DataGrid page</t>
        </is>
      </c>
      <c r="C214" s="18" t="inlineStr">
        <is>
          <t>No</t>
        </is>
      </c>
      <c r="D214" s="26" t="n">
        <v>3</v>
      </c>
      <c r="E214" s="18" t="inlineStr">
        <is>
          <t>Jennifer Sun</t>
        </is>
      </c>
    </row>
    <row r="215">
      <c r="A215" s="18" t="inlineStr">
        <is>
          <t>1.45.3</t>
        </is>
      </c>
      <c r="B215" s="25" t="inlineStr">
        <is>
          <t>F12 data-quality view: list and resolve flags, fill blank fields (API)</t>
        </is>
      </c>
      <c r="C215" s="18" t="inlineStr">
        <is>
          <t>No</t>
        </is>
      </c>
      <c r="D215" s="26" t="n">
        <v>2</v>
      </c>
      <c r="E215" s="18" t="inlineStr">
        <is>
          <t>Molly Tran</t>
        </is>
      </c>
    </row>
    <row r="216">
      <c r="A216" s="18" t="inlineStr">
        <is>
          <t>1.45.4</t>
        </is>
      </c>
      <c r="B216" s="25" t="inlineStr">
        <is>
          <t>F12 data-quality view: list and resolve flags, fill blank fields (page)</t>
        </is>
      </c>
      <c r="C216" s="18" t="inlineStr">
        <is>
          <t>No</t>
        </is>
      </c>
      <c r="D216" s="26" t="n">
        <v>2</v>
      </c>
      <c r="E216" s="18" t="inlineStr">
        <is>
          <t>Jennifer Sun</t>
        </is>
      </c>
    </row>
    <row r="217">
      <c r="A217" s="18" t="inlineStr">
        <is>
          <t>1.45.5</t>
        </is>
      </c>
      <c r="B217" s="25" t="inlineStr">
        <is>
          <t>F14 saved queries: saved_query table and one-click run</t>
        </is>
      </c>
      <c r="C217" s="18" t="inlineStr">
        <is>
          <t>No</t>
        </is>
      </c>
      <c r="D217" s="26" t="n">
        <v>2</v>
      </c>
      <c r="E217" s="18" t="inlineStr">
        <is>
          <t>Zhenyu Song</t>
        </is>
      </c>
    </row>
    <row r="218">
      <c r="A218" s="18" t="inlineStr">
        <is>
          <t>1.45.6</t>
        </is>
      </c>
      <c r="B218" s="25" t="inlineStr">
        <is>
          <t>F14 saved queries: Saved list in the side nav</t>
        </is>
      </c>
      <c r="C218" s="18" t="inlineStr">
        <is>
          <t>No</t>
        </is>
      </c>
      <c r="D218" s="26" t="n">
        <v>1</v>
      </c>
      <c r="E218" s="18" t="inlineStr">
        <is>
          <t>Jennifer Sun</t>
        </is>
      </c>
    </row>
    <row r="219">
      <c r="A219" s="18" t="inlineStr">
        <is>
          <t>1.45.7</t>
        </is>
      </c>
      <c r="B219" s="25" t="inlineStr">
        <is>
          <t>F15 historical import: gpsrc_sheet adapter and migration</t>
        </is>
      </c>
      <c r="C219" s="18" t="inlineStr">
        <is>
          <t>No</t>
        </is>
      </c>
      <c r="D219" s="26" t="n">
        <v>3</v>
      </c>
      <c r="E219" s="18" t="inlineStr">
        <is>
          <t>Molly Tran</t>
        </is>
      </c>
    </row>
    <row r="220">
      <c r="A220" s="22" t="inlineStr">
        <is>
          <t>1.46</t>
        </is>
      </c>
      <c r="B220" s="23" t="inlineStr">
        <is>
          <t>Final testing and acceptance</t>
        </is>
      </c>
      <c r="C220" s="18" t="inlineStr">
        <is>
          <t>No</t>
        </is>
      </c>
      <c r="D220" s="24">
        <f>SUM(D221:D223)</f>
        <v>9</v>
      </c>
      <c r="E220" s="18" t="n"/>
    </row>
    <row r="221">
      <c r="A221" s="18" t="inlineStr">
        <is>
          <t>1.46.1</t>
        </is>
      </c>
      <c r="B221" s="25" t="inlineStr">
        <is>
          <t>Final acceptance run A1–A10, including A7</t>
        </is>
      </c>
      <c r="C221" s="18" t="inlineStr">
        <is>
          <t>No</t>
        </is>
      </c>
      <c r="D221" s="26" t="n">
        <v>2</v>
      </c>
      <c r="E221" s="18" t="inlineStr">
        <is>
          <t>Brandon Lau</t>
        </is>
      </c>
    </row>
    <row r="222">
      <c r="A222" s="18" t="inlineStr">
        <is>
          <t>1.46.2</t>
        </is>
      </c>
      <c r="B222" s="25" t="inlineStr">
        <is>
          <t>Regression walk of all user stories</t>
        </is>
      </c>
      <c r="C222" s="18" t="inlineStr">
        <is>
          <t>No</t>
        </is>
      </c>
      <c r="D222" s="26" t="n">
        <v>3</v>
      </c>
      <c r="E222" s="18" t="inlineStr">
        <is>
          <t>Zhenyu Song</t>
        </is>
      </c>
    </row>
    <row r="223">
      <c r="A223" s="18" t="inlineStr">
        <is>
          <t>1.46.3</t>
        </is>
      </c>
      <c r="B223" s="25" t="inlineStr">
        <is>
          <t>Bug-fix buffer for the regression walk</t>
        </is>
      </c>
      <c r="C223" s="18" t="inlineStr">
        <is>
          <t>No</t>
        </is>
      </c>
      <c r="D223" s="26" t="n">
        <v>4</v>
      </c>
      <c r="E223" s="18" t="inlineStr">
        <is>
          <t>All team</t>
        </is>
      </c>
    </row>
    <row r="224">
      <c r="A224" s="22" t="inlineStr">
        <is>
          <t>1.47</t>
        </is>
      </c>
      <c r="B224" s="23" t="inlineStr">
        <is>
          <t>Handoff to the GPSRC</t>
        </is>
      </c>
      <c r="C224" s="18" t="inlineStr">
        <is>
          <t>Yes</t>
        </is>
      </c>
      <c r="D224" s="24">
        <f>SUM(D225:D229)</f>
        <v>9</v>
      </c>
      <c r="E224" s="18" t="n"/>
    </row>
    <row r="225">
      <c r="A225" s="18" t="inlineStr">
        <is>
          <t>1.47.1</t>
        </is>
      </c>
      <c r="B225" s="25" t="inlineStr">
        <is>
          <t>Update the handoff, setup and user guides, data dictionary and known limitations</t>
        </is>
      </c>
      <c r="C225" s="18" t="inlineStr">
        <is>
          <t>No</t>
        </is>
      </c>
      <c r="D225" s="26" t="n">
        <v>3</v>
      </c>
      <c r="E225" s="18" t="inlineStr">
        <is>
          <t>Molly Tran</t>
        </is>
      </c>
    </row>
    <row r="226">
      <c r="A226" s="18" t="inlineStr">
        <is>
          <t>1.47.2</t>
        </is>
      </c>
      <c r="B226" s="25" t="inlineStr">
        <is>
          <t>Regenerate the screenshots</t>
        </is>
      </c>
      <c r="C226" s="18" t="inlineStr">
        <is>
          <t>No</t>
        </is>
      </c>
      <c r="D226" s="26" t="n">
        <v>1</v>
      </c>
      <c r="E226" s="18" t="inlineStr">
        <is>
          <t>Jennifer Sun</t>
        </is>
      </c>
    </row>
    <row r="227">
      <c r="A227" s="18" t="inlineStr">
        <is>
          <t>1.47.3</t>
        </is>
      </c>
      <c r="B227" s="25" t="inlineStr">
        <is>
          <t>Install the Hub on the GPSRC computer (Docker Desktop)</t>
        </is>
      </c>
      <c r="C227" s="18" t="inlineStr">
        <is>
          <t>No</t>
        </is>
      </c>
      <c r="D227" s="26" t="n">
        <v>2</v>
      </c>
      <c r="E227" s="18" t="inlineStr">
        <is>
          <t>Brandon Lau</t>
        </is>
      </c>
    </row>
    <row r="228">
      <c r="A228" s="18" t="inlineStr">
        <is>
          <t>1.47.4</t>
        </is>
      </c>
      <c r="B228" s="25" t="inlineStr">
        <is>
          <t>Training session for GPSRC staff and student workers</t>
        </is>
      </c>
      <c r="C228" s="18" t="inlineStr">
        <is>
          <t>No</t>
        </is>
      </c>
      <c r="D228" s="26" t="n">
        <v>2</v>
      </c>
      <c r="E228" s="18" t="inlineStr">
        <is>
          <t>Zhenyu Song</t>
        </is>
      </c>
    </row>
    <row r="229">
      <c r="A229" s="18" t="inlineStr">
        <is>
          <t>1.47.5</t>
        </is>
      </c>
      <c r="B229" s="25" t="inlineStr">
        <is>
          <t>Hand over the repository and the key-handling steps</t>
        </is>
      </c>
      <c r="C229" s="18" t="inlineStr">
        <is>
          <t>No</t>
        </is>
      </c>
      <c r="D229" s="26" t="n">
        <v>1</v>
      </c>
      <c r="E229" s="18" t="inlineStr">
        <is>
          <t>Brandon Lau</t>
        </is>
      </c>
    </row>
    <row r="230">
      <c r="A230" s="22" t="inlineStr">
        <is>
          <t>1.48</t>
        </is>
      </c>
      <c r="B230" s="23" t="inlineStr">
        <is>
          <t>Final report, final demo (Dec 4) and Capstone Showcase (Dec 7)</t>
        </is>
      </c>
      <c r="C230" s="18" t="inlineStr">
        <is>
          <t>Yes</t>
        </is>
      </c>
      <c r="D230" s="24">
        <f>SUM(D231:D240)</f>
        <v>36</v>
      </c>
      <c r="E230" s="18" t="n"/>
    </row>
    <row r="231">
      <c r="A231" s="18" t="inlineStr">
        <is>
          <t>1.48.1</t>
        </is>
      </c>
      <c r="B231" s="25" t="inlineStr">
        <is>
          <t>Final report: import pipeline and MOV results</t>
        </is>
      </c>
      <c r="C231" s="18" t="inlineStr">
        <is>
          <t>No</t>
        </is>
      </c>
      <c r="D231" s="26" t="n">
        <v>2</v>
      </c>
      <c r="E231" s="18" t="inlineStr">
        <is>
          <t>Molly Tran</t>
        </is>
      </c>
    </row>
    <row r="232">
      <c r="A232" s="18" t="inlineStr">
        <is>
          <t>1.48.2</t>
        </is>
      </c>
      <c r="B232" s="25" t="inlineStr">
        <is>
          <t>Final report: database, deployment and project management</t>
        </is>
      </c>
      <c r="C232" s="18" t="inlineStr">
        <is>
          <t>No</t>
        </is>
      </c>
      <c r="D232" s="26" t="n">
        <v>2</v>
      </c>
      <c r="E232" s="18" t="inlineStr">
        <is>
          <t>Brandon Lau</t>
        </is>
      </c>
    </row>
    <row r="233">
      <c r="A233" s="18" t="inlineStr">
        <is>
          <t>1.48.3</t>
        </is>
      </c>
      <c r="B233" s="25" t="inlineStr">
        <is>
          <t>Final report: user interface</t>
        </is>
      </c>
      <c r="C233" s="18" t="inlineStr">
        <is>
          <t>No</t>
        </is>
      </c>
      <c r="D233" s="26" t="n">
        <v>2</v>
      </c>
      <c r="E233" s="18" t="inlineStr">
        <is>
          <t>Jennifer Sun</t>
        </is>
      </c>
    </row>
    <row r="234">
      <c r="A234" s="18" t="inlineStr">
        <is>
          <t>1.48.4</t>
        </is>
      </c>
      <c r="B234" s="25" t="inlineStr">
        <is>
          <t>Final report: chatbot, privacy and benchmark</t>
        </is>
      </c>
      <c r="C234" s="18" t="inlineStr">
        <is>
          <t>No</t>
        </is>
      </c>
      <c r="D234" s="26" t="n">
        <v>2</v>
      </c>
      <c r="E234" s="18" t="inlineStr">
        <is>
          <t>Zhenyu Song</t>
        </is>
      </c>
    </row>
    <row r="235">
      <c r="A235" s="18" t="inlineStr">
        <is>
          <t>1.48.5</t>
        </is>
      </c>
      <c r="B235" s="25" t="inlineStr">
        <is>
          <t>Final report: assemble, edit and submit</t>
        </is>
      </c>
      <c r="C235" s="18" t="inlineStr">
        <is>
          <t>No</t>
        </is>
      </c>
      <c r="D235" s="26" t="n">
        <v>2</v>
      </c>
      <c r="E235" s="18" t="inlineStr">
        <is>
          <t>Jennifer Sun</t>
        </is>
      </c>
    </row>
    <row r="236">
      <c r="A236" s="18" t="inlineStr">
        <is>
          <t>1.48.6</t>
        </is>
      </c>
      <c r="B236" s="25" t="inlineStr">
        <is>
          <t>Final presentation slides and rehearsal</t>
        </is>
      </c>
      <c r="C236" s="18" t="inlineStr">
        <is>
          <t>No</t>
        </is>
      </c>
      <c r="D236" s="26" t="n">
        <v>8</v>
      </c>
      <c r="E236" s="18" t="inlineStr">
        <is>
          <t>All team</t>
        </is>
      </c>
    </row>
    <row r="237">
      <c r="A237" s="18" t="inlineStr">
        <is>
          <t>1.48.7</t>
        </is>
      </c>
      <c r="B237" s="25" t="inlineStr">
        <is>
          <t>Final demo to the sponsor and instructor (Dec 4)</t>
        </is>
      </c>
      <c r="C237" s="18" t="inlineStr">
        <is>
          <t>No</t>
        </is>
      </c>
      <c r="D237" s="26" t="n">
        <v>4</v>
      </c>
      <c r="E237" s="18" t="inlineStr">
        <is>
          <t>All team</t>
        </is>
      </c>
    </row>
    <row r="238">
      <c r="A238" s="18" t="inlineStr">
        <is>
          <t>1.48.8</t>
        </is>
      </c>
      <c r="B238" s="25" t="inlineStr">
        <is>
          <t>Showcase poster</t>
        </is>
      </c>
      <c r="C238" s="18" t="inlineStr">
        <is>
          <t>No</t>
        </is>
      </c>
      <c r="D238" s="26" t="n">
        <v>2</v>
      </c>
      <c r="E238" s="18" t="inlineStr">
        <is>
          <t>Jennifer Sun</t>
        </is>
      </c>
    </row>
    <row r="239">
      <c r="A239" s="18" t="inlineStr">
        <is>
          <t>1.48.9</t>
        </is>
      </c>
      <c r="B239" s="25" t="inlineStr">
        <is>
          <t>Capstone Showcase booth and live demo (Dec 7)</t>
        </is>
      </c>
      <c r="C239" s="18" t="inlineStr">
        <is>
          <t>No</t>
        </is>
      </c>
      <c r="D239" s="26" t="n">
        <v>8</v>
      </c>
      <c r="E239" s="18" t="inlineStr">
        <is>
          <t>All team</t>
        </is>
      </c>
    </row>
    <row r="240">
      <c r="A240" s="18" t="inlineStr">
        <is>
          <t>1.48.10</t>
        </is>
      </c>
      <c r="B240" s="25" t="inlineStr">
        <is>
          <t>Peer evaluations</t>
        </is>
      </c>
      <c r="C240" s="18" t="inlineStr">
        <is>
          <t>No</t>
        </is>
      </c>
      <c r="D240" s="26" t="n">
        <v>4</v>
      </c>
      <c r="E240" s="18" t="inlineStr">
        <is>
          <t>All team</t>
        </is>
      </c>
    </row>
    <row r="241">
      <c r="A241" s="22" t="inlineStr">
        <is>
          <t>1.49</t>
        </is>
      </c>
      <c r="B241" s="27" t="inlineStr">
        <is>
          <t>Milestone: MOV met and the Hub handed over (Dec 4); showcase (Dec 7)</t>
        </is>
      </c>
      <c r="C241" s="18" t="inlineStr">
        <is>
          <t>No</t>
        </is>
      </c>
      <c r="D241" s="24" t="n">
        <v>0</v>
      </c>
      <c r="E241" s="18" t="n"/>
    </row>
    <row r="242">
      <c r="A242" s="19" t="inlineStr">
        <is>
          <t>Post-capstone backlog (not scheduled; not counted in the capacity check)</t>
        </is>
      </c>
      <c r="B242" s="20" t="n"/>
      <c r="C242" s="20" t="n"/>
      <c r="D242" s="20" t="n"/>
      <c r="E242" s="21" t="n"/>
    </row>
    <row r="243">
      <c r="A243" s="22" t="inlineStr">
        <is>
          <t>1.50</t>
        </is>
      </c>
      <c r="B243" s="23" t="inlineStr">
        <is>
          <t>Items left for the next team or a later phase</t>
        </is>
      </c>
      <c r="C243" s="18" t="inlineStr">
        <is>
          <t>No</t>
        </is>
      </c>
      <c r="D243" s="24">
        <f>SUM(D244:D246)</f>
        <v>10</v>
      </c>
      <c r="E243" s="18" t="n"/>
    </row>
    <row r="244">
      <c r="A244" s="18" t="inlineStr">
        <is>
          <t>1.50.1</t>
        </is>
      </c>
      <c r="B244" s="25" t="inlineStr">
        <is>
          <t>F16 multiple staff accounts and an admin page (needs login first)</t>
        </is>
      </c>
      <c r="C244" s="18" t="inlineStr">
        <is>
          <t>No</t>
        </is>
      </c>
      <c r="D244" s="26" t="n">
        <v>3</v>
      </c>
      <c r="E244" s="18" t="inlineStr">
        <is>
          <t>Molly Tran</t>
        </is>
      </c>
    </row>
    <row r="245">
      <c r="A245" s="18" t="inlineStr">
        <is>
          <t>1.50.2</t>
        </is>
      </c>
      <c r="B245" s="25" t="inlineStr">
        <is>
          <t>Native Anthropic or Gemini connector</t>
        </is>
      </c>
      <c r="C245" s="18" t="inlineStr">
        <is>
          <t>No</t>
        </is>
      </c>
      <c r="D245" s="26" t="n">
        <v>3</v>
      </c>
      <c r="E245" s="18" t="inlineStr">
        <is>
          <t>Zhenyu Song</t>
        </is>
      </c>
    </row>
    <row r="246">
      <c r="A246" s="18" t="inlineStr">
        <is>
          <t>1.50.3</t>
        </is>
      </c>
      <c r="B246" s="25" t="inlineStr">
        <is>
          <t>Attendance roster by school to measure service gaps (SF-7; new data source)</t>
        </is>
      </c>
      <c r="C246" s="18" t="inlineStr">
        <is>
          <t>No</t>
        </is>
      </c>
      <c r="D246" s="26" t="n">
        <v>4</v>
      </c>
      <c r="E246" s="18" t="inlineStr">
        <is>
          <t>Molly Tran</t>
        </is>
      </c>
    </row>
  </sheetData>
  <mergeCells count="5">
    <mergeCell ref="A50:E50"/>
    <mergeCell ref="A242:E242"/>
    <mergeCell ref="A191:E191"/>
    <mergeCell ref="A132:E132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4" customWidth="1" style="13" min="1" max="1"/>
    <col width="30" customWidth="1" style="13" min="2" max="2"/>
    <col width="11" customWidth="1" style="13" min="3" max="3"/>
    <col width="11" customWidth="1" style="13" min="4" max="4"/>
    <col width="11" customWidth="1" style="13" min="5" max="5"/>
    <col width="11" customWidth="1" style="13" min="6" max="6"/>
    <col width="11" customWidth="1" style="13" min="7" max="7"/>
  </cols>
  <sheetData>
    <row r="1">
      <c r="A1" s="28" t="inlineStr">
        <is>
          <t>Effort by person and sprint (person-hours)</t>
        </is>
      </c>
    </row>
    <row r="2">
      <c r="A2" s="29" t="inlineStr">
        <is>
          <t>Computed from the WBS sheet. Rows owned by "All team" are split evenly across the four members.</t>
        </is>
      </c>
    </row>
    <row r="4">
      <c r="A4" s="30" t="inlineStr">
        <is>
          <t>Assumptions (blue = input)</t>
        </is>
      </c>
    </row>
    <row r="5">
      <c r="A5" s="29" t="inlineStr">
        <is>
          <t>Team members</t>
        </is>
      </c>
      <c r="B5" s="31" t="n">
        <v>4</v>
      </c>
    </row>
    <row r="6">
      <c r="A6" s="29" t="inlineStr">
        <is>
          <t>Hours per person per week (project charter)</t>
        </is>
      </c>
      <c r="B6" s="31" t="n">
        <v>10</v>
      </c>
    </row>
    <row r="8">
      <c r="A8" s="32" t="inlineStr">
        <is>
          <t>Person</t>
        </is>
      </c>
      <c r="B8" s="32" t="inlineStr">
        <is>
          <t>Role</t>
        </is>
      </c>
      <c r="C8" s="32" t="inlineStr">
        <is>
          <t>Sprint 0</t>
        </is>
      </c>
      <c r="D8" s="32" t="inlineStr">
        <is>
          <t>Sprint 1</t>
        </is>
      </c>
      <c r="E8" s="32" t="inlineStr">
        <is>
          <t>Sprint 2</t>
        </is>
      </c>
      <c r="F8" s="32" t="inlineStr">
        <is>
          <t>Sprint 3</t>
        </is>
      </c>
      <c r="G8" s="32" t="inlineStr">
        <is>
          <t>Total</t>
        </is>
      </c>
    </row>
    <row r="9">
      <c r="A9" s="18" t="inlineStr">
        <is>
          <t>Brandon Lau</t>
        </is>
      </c>
      <c r="B9" s="18" t="inlineStr">
        <is>
          <t>Database / DevOps</t>
        </is>
      </c>
      <c r="C9" s="33">
        <f>SUMIFS(WBS!$D$4:$D$49,WBS!$E$4:$E$49,$A9)+SUMIFS(WBS!$D$4:$D$49,WBS!$E$4:$E$49,"All team")/$B$5</f>
        <v>24</v>
      </c>
      <c r="D9" s="33">
        <f>SUMIFS(WBS!$D$51:$D$131,WBS!$E$51:$E$131,$A9)+SUMIFS(WBS!$D$51:$D$131,WBS!$E$51:$E$131,"All team")/$B$5</f>
        <v>26</v>
      </c>
      <c r="E9" s="33">
        <f>SUMIFS(WBS!$D$133:$D$190,WBS!$E$133:$E$190,$A9)+SUMIFS(WBS!$D$133:$D$190,WBS!$E$133:$E$190,"All team")/$B$5</f>
        <v>21</v>
      </c>
      <c r="F9" s="33">
        <f>SUMIFS(WBS!$D$192:$D$241,WBS!$E$192:$E$241,$A9)+SUMIFS(WBS!$D$192:$D$241,WBS!$E$192:$E$241,"All team")/$B$5</f>
        <v>31</v>
      </c>
      <c r="G9" s="34">
        <f>SUM(C9:F9)</f>
        <v>102</v>
      </c>
    </row>
    <row r="10">
      <c r="A10" s="18" t="inlineStr">
        <is>
          <t>Jennifer Sun</t>
        </is>
      </c>
      <c r="B10" s="18" t="inlineStr">
        <is>
          <t>Frontend</t>
        </is>
      </c>
      <c r="C10" s="33">
        <f>SUMIFS(WBS!$D$4:$D$49,WBS!$E$4:$E$49,$A10)+SUMIFS(WBS!$D$4:$D$49,WBS!$E$4:$E$49,"All team")/$B$5</f>
        <v>27</v>
      </c>
      <c r="D10" s="33">
        <f>SUMIFS(WBS!$D$51:$D$131,WBS!$E$51:$E$131,$A10)+SUMIFS(WBS!$D$51:$D$131,WBS!$E$51:$E$131,"All team")/$B$5</f>
        <v>29</v>
      </c>
      <c r="E10" s="33">
        <f>SUMIFS(WBS!$D$133:$D$190,WBS!$E$133:$E$190,$A10)+SUMIFS(WBS!$D$133:$D$190,WBS!$E$133:$E$190,"All team")/$B$5</f>
        <v>20</v>
      </c>
      <c r="F10" s="33">
        <f>SUMIFS(WBS!$D$192:$D$241,WBS!$E$192:$E$241,$A10)+SUMIFS(WBS!$D$192:$D$241,WBS!$E$192:$E$241,"All team")/$B$5</f>
        <v>26</v>
      </c>
      <c r="G10" s="34">
        <f>SUM(C10:F10)</f>
        <v>102</v>
      </c>
    </row>
    <row r="11">
      <c r="A11" s="18" t="inlineStr">
        <is>
          <t>Molly Tran</t>
        </is>
      </c>
      <c r="B11" s="18" t="inlineStr">
        <is>
          <t>Backend / Data Import</t>
        </is>
      </c>
      <c r="C11" s="33">
        <f>SUMIFS(WBS!$D$4:$D$49,WBS!$E$4:$E$49,$A11)+SUMIFS(WBS!$D$4:$D$49,WBS!$E$4:$E$49,"All team")/$B$5</f>
        <v>32</v>
      </c>
      <c r="D11" s="33">
        <f>SUMIFS(WBS!$D$51:$D$131,WBS!$E$51:$E$131,$A11)+SUMIFS(WBS!$D$51:$D$131,WBS!$E$51:$E$131,"All team")/$B$5</f>
        <v>29</v>
      </c>
      <c r="E11" s="33">
        <f>SUMIFS(WBS!$D$133:$D$190,WBS!$E$133:$E$190,$A11)+SUMIFS(WBS!$D$133:$D$190,WBS!$E$133:$E$190,"All team")/$B$5</f>
        <v>16</v>
      </c>
      <c r="F11" s="33">
        <f>SUMIFS(WBS!$D$192:$D$241,WBS!$E$192:$E$241,$A11)+SUMIFS(WBS!$D$192:$D$241,WBS!$E$192:$E$241,"All team")/$B$5</f>
        <v>26</v>
      </c>
      <c r="G11" s="34">
        <f>SUM(C11:F11)</f>
        <v>103</v>
      </c>
    </row>
    <row r="12">
      <c r="A12" s="18" t="inlineStr">
        <is>
          <t>Zhenyu Song</t>
        </is>
      </c>
      <c r="B12" s="18" t="inlineStr">
        <is>
          <t>AI / Chatbot</t>
        </is>
      </c>
      <c r="C12" s="33">
        <f>SUMIFS(WBS!$D$4:$D$49,WBS!$E$4:$E$49,$A12)+SUMIFS(WBS!$D$4:$D$49,WBS!$E$4:$E$49,"All team")/$B$5</f>
        <v>26</v>
      </c>
      <c r="D12" s="33">
        <f>SUMIFS(WBS!$D$51:$D$131,WBS!$E$51:$E$131,$A12)+SUMIFS(WBS!$D$51:$D$131,WBS!$E$51:$E$131,"All team")/$B$5</f>
        <v>36</v>
      </c>
      <c r="E12" s="33">
        <f>SUMIFS(WBS!$D$133:$D$190,WBS!$E$133:$E$190,$A12)+SUMIFS(WBS!$D$133:$D$190,WBS!$E$133:$E$190,"All team")/$B$5</f>
        <v>18</v>
      </c>
      <c r="F12" s="33">
        <f>SUMIFS(WBS!$D$192:$D$241,WBS!$E$192:$E$241,$A12)+SUMIFS(WBS!$D$192:$D$241,WBS!$E$192:$E$241,"All team")/$B$5</f>
        <v>23</v>
      </c>
      <c r="G12" s="34">
        <f>SUM(C12:F12)</f>
        <v>103</v>
      </c>
    </row>
    <row r="13">
      <c r="A13" s="35" t="inlineStr">
        <is>
          <t>Total</t>
        </is>
      </c>
      <c r="B13" s="18" t="n"/>
      <c r="C13" s="34">
        <f>SUM(C9:C12)</f>
        <v>109</v>
      </c>
      <c r="D13" s="34">
        <f>SUM(D9:D12)</f>
        <v>120</v>
      </c>
      <c r="E13" s="34">
        <f>SUM(E9:E12)</f>
        <v>75</v>
      </c>
      <c r="F13" s="34">
        <f>SUM(F9:F12)</f>
        <v>106</v>
      </c>
      <c r="G13" s="34">
        <f>SUM(G9:G12)</f>
        <v>410</v>
      </c>
    </row>
    <row r="14">
      <c r="A14" s="18" t="inlineStr">
        <is>
          <t>Check: sum of the WBS task rows</t>
        </is>
      </c>
      <c r="B14" s="18" t="n"/>
      <c r="C14" s="33">
        <f>SUMIFS(WBS!$D$4:$D$49,WBS!$E$4:$E$49,"&lt;&gt;")</f>
        <v>109</v>
      </c>
      <c r="D14" s="33">
        <f>SUMIFS(WBS!$D$51:$D$131,WBS!$E$51:$E$131,"&lt;&gt;")</f>
        <v>120</v>
      </c>
      <c r="E14" s="33">
        <f>SUMIFS(WBS!$D$133:$D$190,WBS!$E$133:$E$190,"&lt;&gt;")</f>
        <v>75</v>
      </c>
      <c r="F14" s="33">
        <f>SUMIFS(WBS!$D$192:$D$241,WBS!$E$192:$E$241,"&lt;&gt;")</f>
        <v>106</v>
      </c>
      <c r="G14" s="33">
        <f>SUM(C14:F14)</f>
        <v>410</v>
      </c>
    </row>
    <row r="15">
      <c r="A15" s="18" t="inlineStr">
        <is>
          <t>Weeks in the sprint</t>
        </is>
      </c>
      <c r="B15" s="18" t="n"/>
      <c r="C15" s="36" t="n">
        <v>3.5</v>
      </c>
      <c r="D15" s="36" t="n">
        <v>2</v>
      </c>
      <c r="E15" s="36" t="n">
        <v>2</v>
      </c>
      <c r="F15" s="36" t="n">
        <v>2.5</v>
      </c>
      <c r="G15" s="37">
        <f>SUM(C15:F15)</f>
        <v>10</v>
      </c>
    </row>
    <row r="16">
      <c r="A16" s="18" t="inlineStr">
        <is>
          <t>Capacity (weeks × members × hours per week)</t>
        </is>
      </c>
      <c r="B16" s="18" t="n"/>
      <c r="C16" s="33">
        <f>C15*$B$5*$B$6</f>
        <v>140</v>
      </c>
      <c r="D16" s="33">
        <f>D15*$B$5*$B$6</f>
        <v>80</v>
      </c>
      <c r="E16" s="33">
        <f>E15*$B$5*$B$6</f>
        <v>80</v>
      </c>
      <c r="F16" s="33">
        <f>F15*$B$5*$B$6</f>
        <v>100</v>
      </c>
      <c r="G16" s="33">
        <f>G15*$B$5*$B$6</f>
        <v>400</v>
      </c>
    </row>
    <row r="17">
      <c r="A17" s="35" t="inlineStr">
        <is>
          <t>Load (planned ÷ capacity)</t>
        </is>
      </c>
      <c r="B17" s="18" t="n"/>
      <c r="C17" s="38">
        <f>IF(C16=0,0,C13/C16)</f>
        <v>0.7785714285714286</v>
      </c>
      <c r="D17" s="38">
        <f>IF(D16=0,0,D13/D16)</f>
        <v>1.5</v>
      </c>
      <c r="E17" s="38">
        <f>IF(E16=0,0,E13/E16)</f>
        <v>0.9375</v>
      </c>
      <c r="F17" s="38">
        <f>IF(F16=0,0,F13/F16)</f>
        <v>1.06</v>
      </c>
      <c r="G17" s="38">
        <f>IF(G16=0,0,G13/G16)</f>
        <v>1.025</v>
      </c>
    </row>
    <row r="19">
      <c r="A19" s="30" t="inlineStr">
        <is>
          <t>Notes</t>
        </is>
      </c>
    </row>
    <row r="20">
      <c r="A20" s="29" t="inlineStr">
        <is>
          <t>Estimated Time is in person-hours of human work: planning, specifying, reviewing AI-generated code, testing and writing.</t>
        </is>
      </c>
    </row>
    <row r="21">
      <c r="A21" s="29" t="inlineStr">
        <is>
          <t>Sprint 1 is over capacity on purpose: the MVP the charter planned for weeks 5–9 was built in Sprint 1 with AI-assisted development.</t>
        </is>
      </c>
    </row>
    <row r="22">
      <c r="A22" s="29" t="inlineStr">
        <is>
          <t>Sprints 2 and 3 use the time this freed for the backlog (docs/backlog.md) and the handoff items (docs/handoff.md).</t>
        </is>
      </c>
    </row>
    <row r="23">
      <c r="A23" s="29" t="inlineStr">
        <is>
          <t>The post-capstone backlog at the end of the WBS sheet is not counted here.</t>
        </is>
      </c>
    </row>
    <row r="24">
      <c r="A24" s="29" t="inlineStr">
        <is>
          <t>From Sprint 2 on, the WBS gets an Actual Time column filled from the team's time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2026-10-26T00:10:11Z</dcterms:created>
  <dcterms:modified xsi:type="dcterms:W3CDTF">2026-10-26T00:10:11Z</dcterms:modified>
</cp:coreProperties>
</file>