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WBS" sheetId="1" state="visible" r:id="rId1"/>
  </sheets>
  <definedNames>
    <definedName name="_xlnm.Print_Titles" localSheetId="0">'WBS'!$1:$1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=1]0&quot; hour&quot;;0&quot; hours&quot;"/>
  </numFmts>
  <fonts count="12">
    <font>
      <name val="Arial"/>
      <color rgb="FF000000"/>
      <sz val="10"/>
      <scheme val="minor"/>
    </font>
    <font>
      <name val="Arial"/>
      <color theme="1"/>
    </font>
    <font>
      <name val="Arial"/>
      <b val="1"/>
      <color rgb="FFFFFFFF"/>
      <sz val="12"/>
    </font>
    <font>
      <name val="Arial"/>
      <b val="1"/>
      <color theme="1"/>
      <sz val="11"/>
    </font>
    <font>
      <name val="Arial"/>
      <b val="1"/>
      <color rgb="FFFFFFFF"/>
    </font>
    <font/>
    <font>
      <name val="Arial"/>
      <b val="1"/>
      <i val="1"/>
      <color theme="1"/>
    </font>
    <font>
      <name val="Arial"/>
      <b val="1"/>
      <sz val="11"/>
    </font>
    <font>
      <name val="Arial"/>
      <sz val="10"/>
    </font>
    <font>
      <name val="Arial"/>
      <b val="1"/>
      <color rgb="FFFFFFFF"/>
      <sz val="10"/>
    </font>
    <font>
      <name val="Arial"/>
      <b val="1"/>
      <sz val="10"/>
    </font>
    <font>
      <name val="Arial"/>
      <b val="1"/>
      <i val="1"/>
      <sz val="10"/>
    </font>
  </fonts>
  <fills count="3">
    <fill>
      <patternFill/>
    </fill>
    <fill>
      <patternFill patternType="lightGray"/>
    </fill>
    <fill>
      <patternFill patternType="solid">
        <fgColor rgb="FF969696"/>
        <bgColor rgb="FF96969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3" fillId="0" borderId="1" applyAlignment="1" pivotButton="0" quotePrefix="0" xfId="0">
      <alignment horizontal="right" vertical="bottom"/>
    </xf>
    <xf numFmtId="0" fontId="3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4" fillId="2" borderId="2" applyAlignment="1" pivotButton="0" quotePrefix="0" xfId="0">
      <alignment horizontal="right" vertical="bottom"/>
    </xf>
    <xf numFmtId="0" fontId="5" fillId="0" borderId="3" pivotButton="0" quotePrefix="0" xfId="0"/>
    <xf numFmtId="0" fontId="5" fillId="0" borderId="4" pivotButton="0" quotePrefix="0" xfId="0"/>
    <xf numFmtId="0" fontId="1" fillId="0" borderId="1" applyAlignment="1" pivotButton="0" quotePrefix="0" xfId="0">
      <alignment horizontal="right" vertical="bottom"/>
    </xf>
    <xf numFmtId="0" fontId="6" fillId="0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2" borderId="2" applyAlignment="1" pivotButton="0" quotePrefix="0" xfId="0">
      <alignment vertical="bottom"/>
    </xf>
    <xf numFmtId="0" fontId="0" fillId="0" borderId="0" pivotButton="0" quotePrefix="0" xfId="0"/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9" fillId="2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8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vertical="center" wrapText="1"/>
    </xf>
    <xf numFmtId="164" fontId="10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164" fontId="8" fillId="0" borderId="1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E97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0"/>
  <cols>
    <col width="9" customWidth="1" style="13" min="1" max="1"/>
    <col width="92" customWidth="1" style="13" min="2" max="2"/>
    <col width="12" customWidth="1" style="13" min="3" max="3"/>
    <col width="15" customWidth="1" style="13" min="4" max="4"/>
    <col width="15" customWidth="1" style="13" min="5" max="5"/>
  </cols>
  <sheetData>
    <row r="1">
      <c r="A1" s="1" t="n"/>
      <c r="B1" s="2" t="inlineStr">
        <is>
          <t>Task Description</t>
        </is>
      </c>
      <c r="C1" s="2" t="inlineStr">
        <is>
          <t>Deliverable</t>
        </is>
      </c>
      <c r="D1" s="2" t="inlineStr">
        <is>
          <t>Estimated Time</t>
        </is>
      </c>
      <c r="E1" s="2" t="inlineStr">
        <is>
          <t>Resources</t>
        </is>
      </c>
    </row>
    <row r="2">
      <c r="A2" s="14" t="n">
        <v>1</v>
      </c>
      <c r="B2" s="15" t="inlineStr">
        <is>
          <t>Program Registration &amp; Attendance Data Hub</t>
        </is>
      </c>
      <c r="C2" s="16" t="inlineStr">
        <is>
          <t>Yes</t>
        </is>
      </c>
      <c r="D2" s="17">
        <f>D4+D5+D6+D7+D8+D9+D10+D12+D15+D21+D24+D30+D33+D36+D40+D45+D48+D52+D54+D57+D60+D64+D67+D70+D71+D75+D77+D80+D83+D86+D89+D94+D97</f>
        <v>272</v>
      </c>
      <c r="E2" s="18" t="n"/>
    </row>
    <row r="3">
      <c r="A3" s="19" t="inlineStr">
        <is>
          <t>Sprint 0: Initiation and Planning  |  Sep 24 – Oct 19  |  Complete</t>
        </is>
      </c>
      <c r="B3" s="20" t="n"/>
      <c r="C3" s="20" t="n"/>
      <c r="D3" s="20" t="n"/>
      <c r="E3" s="21" t="n"/>
    </row>
    <row r="4">
      <c r="A4" s="22" t="inlineStr">
        <is>
          <t>1.1</t>
        </is>
      </c>
      <c r="B4" s="23" t="inlineStr">
        <is>
          <t>SWE 277P Assignment 1: Team Statement (Oct 6)</t>
        </is>
      </c>
      <c r="C4" s="18" t="inlineStr">
        <is>
          <t>Yes</t>
        </is>
      </c>
      <c r="D4" s="24" t="n">
        <v>8</v>
      </c>
      <c r="E4" s="18" t="inlineStr">
        <is>
          <t>All team</t>
        </is>
      </c>
    </row>
    <row r="5">
      <c r="A5" s="22" t="inlineStr">
        <is>
          <t>1.2</t>
        </is>
      </c>
      <c r="B5" s="23" t="inlineStr">
        <is>
          <t>SWE 277P Assignment 2: MOV (Oct 13)</t>
        </is>
      </c>
      <c r="C5" s="18" t="inlineStr">
        <is>
          <t>Yes</t>
        </is>
      </c>
      <c r="D5" s="24" t="n">
        <v>8</v>
      </c>
      <c r="E5" s="18" t="inlineStr">
        <is>
          <t>All team</t>
        </is>
      </c>
    </row>
    <row r="6">
      <c r="A6" s="22" t="inlineStr">
        <is>
          <t>1.3</t>
        </is>
      </c>
      <c r="B6" s="23" t="inlineStr">
        <is>
          <t>SWE 276P: Project Scope and High-Level Design report (Oct 16)</t>
        </is>
      </c>
      <c r="C6" s="18" t="inlineStr">
        <is>
          <t>Yes</t>
        </is>
      </c>
      <c r="D6" s="24" t="n">
        <v>16</v>
      </c>
      <c r="E6" s="18" t="inlineStr">
        <is>
          <t>All team</t>
        </is>
      </c>
    </row>
    <row r="7">
      <c r="A7" s="22" t="inlineStr">
        <is>
          <t>1.4</t>
        </is>
      </c>
      <c r="B7" s="23" t="inlineStr">
        <is>
          <t>SWE 277P Assignment 3: Business Case (Oct 20)</t>
        </is>
      </c>
      <c r="C7" s="18" t="inlineStr">
        <is>
          <t>Yes</t>
        </is>
      </c>
      <c r="D7" s="24" t="n">
        <v>8</v>
      </c>
      <c r="E7" s="18" t="inlineStr">
        <is>
          <t>All team</t>
        </is>
      </c>
    </row>
    <row r="8">
      <c r="A8" s="22" t="inlineStr">
        <is>
          <t>1.5</t>
        </is>
      </c>
      <c r="B8" s="23" t="inlineStr">
        <is>
          <t>SWE 277P Assignment 4: Project Charter (Oct 20)</t>
        </is>
      </c>
      <c r="C8" s="18" t="inlineStr">
        <is>
          <t>Yes</t>
        </is>
      </c>
      <c r="D8" s="24" t="n">
        <v>8</v>
      </c>
      <c r="E8" s="18" t="inlineStr">
        <is>
          <t>All team</t>
        </is>
      </c>
    </row>
    <row r="9">
      <c r="A9" s="22" t="inlineStr">
        <is>
          <t>1.6</t>
        </is>
      </c>
      <c r="B9" s="23" t="inlineStr">
        <is>
          <t>Sponsor meetings and requirements (Oct 7, Oct 14)</t>
        </is>
      </c>
      <c r="C9" s="18" t="inlineStr">
        <is>
          <t>No</t>
        </is>
      </c>
      <c r="D9" s="24" t="n">
        <v>12</v>
      </c>
      <c r="E9" s="18" t="inlineStr">
        <is>
          <t>All team</t>
        </is>
      </c>
    </row>
    <row r="10">
      <c r="A10" s="22" t="inlineStr">
        <is>
          <t>1.7</t>
        </is>
      </c>
      <c r="B10" s="25" t="inlineStr">
        <is>
          <t>Milestone: scope, MOV, business case and charter submitted</t>
        </is>
      </c>
      <c r="C10" s="18" t="inlineStr">
        <is>
          <t>No</t>
        </is>
      </c>
      <c r="D10" s="24" t="n">
        <v>0</v>
      </c>
      <c r="E10" s="18" t="n"/>
    </row>
    <row r="11">
      <c r="A11" s="19" t="inlineStr">
        <is>
          <t>Sprint 1: MVP Build  |  Oct 20 – Nov 2  |  Current sprint</t>
        </is>
      </c>
      <c r="B11" s="20" t="n"/>
      <c r="C11" s="20" t="n"/>
      <c r="D11" s="20" t="n"/>
      <c r="E11" s="21" t="n"/>
    </row>
    <row r="12">
      <c r="A12" s="22" t="inlineStr">
        <is>
          <t>1.8</t>
        </is>
      </c>
      <c r="B12" s="23" t="inlineStr">
        <is>
          <t>Sprint planning and MVP design spec</t>
        </is>
      </c>
      <c r="C12" s="18" t="inlineStr">
        <is>
          <t>Yes</t>
        </is>
      </c>
      <c r="D12" s="24">
        <f>SUM(D13:D14)</f>
        <v>5</v>
      </c>
      <c r="E12" s="18" t="n"/>
    </row>
    <row r="13">
      <c r="A13" s="18" t="inlineStr">
        <is>
          <t>1.8.1</t>
        </is>
      </c>
      <c r="B13" s="26" t="inlineStr">
        <is>
          <t>MVP design spec and build plans</t>
        </is>
      </c>
      <c r="C13" s="18" t="inlineStr">
        <is>
          <t>No</t>
        </is>
      </c>
      <c r="D13" s="27" t="n">
        <v>4</v>
      </c>
      <c r="E13" s="18" t="inlineStr">
        <is>
          <t>Zhenyu Song</t>
        </is>
      </c>
    </row>
    <row r="14">
      <c r="A14" s="18" t="inlineStr">
        <is>
          <t>1.8.2</t>
        </is>
      </c>
      <c r="B14" s="26" t="inlineStr">
        <is>
          <t>Team GitHub repo and shared time log</t>
        </is>
      </c>
      <c r="C14" s="18" t="inlineStr">
        <is>
          <t>No</t>
        </is>
      </c>
      <c r="D14" s="27" t="n">
        <v>1</v>
      </c>
      <c r="E14" s="18" t="inlineStr">
        <is>
          <t>Brandon Lau</t>
        </is>
      </c>
    </row>
    <row r="15">
      <c r="A15" s="22" t="inlineStr">
        <is>
          <t>1.9</t>
        </is>
      </c>
      <c r="B15" s="23" t="inlineStr">
        <is>
          <t>US-01 Upload an event export as-is (UP-01 – UP-14, UP-19)</t>
        </is>
      </c>
      <c r="C15" s="18" t="inlineStr">
        <is>
          <t>Yes</t>
        </is>
      </c>
      <c r="D15" s="24">
        <f>SUM(D16:D20)</f>
        <v>14</v>
      </c>
      <c r="E15" s="18" t="n"/>
    </row>
    <row r="16">
      <c r="A16" s="18" t="inlineStr">
        <is>
          <t>1.9.1</t>
        </is>
      </c>
      <c r="B16" s="26" t="inlineStr">
        <is>
          <t>Database schema and migrations</t>
        </is>
      </c>
      <c r="C16" s="18" t="inlineStr">
        <is>
          <t>No</t>
        </is>
      </c>
      <c r="D16" s="27" t="n">
        <v>2</v>
      </c>
      <c r="E16" s="18" t="inlineStr">
        <is>
          <t>Brandon Lau</t>
        </is>
      </c>
    </row>
    <row r="17">
      <c r="A17" s="18" t="inlineStr">
        <is>
          <t>1.9.2</t>
        </is>
      </c>
      <c r="B17" s="26" t="inlineStr">
        <is>
          <t>CampusGroups and 12twenty adapters; detect the format from the headers</t>
        </is>
      </c>
      <c r="C17" s="18" t="inlineStr">
        <is>
          <t>No</t>
        </is>
      </c>
      <c r="D17" s="27" t="n">
        <v>4</v>
      </c>
      <c r="E17" s="18" t="inlineStr">
        <is>
          <t>Molly Tran</t>
        </is>
      </c>
    </row>
    <row r="18">
      <c r="A18" s="18" t="inlineStr">
        <is>
          <t>1.9.3</t>
        </is>
      </c>
      <c r="B18" s="26" t="inlineStr">
        <is>
          <t>Duplicate-file protection and commit</t>
        </is>
      </c>
      <c r="C18" s="18" t="inlineStr">
        <is>
          <t>No</t>
        </is>
      </c>
      <c r="D18" s="27" t="n">
        <v>2</v>
      </c>
      <c r="E18" s="18" t="inlineStr">
        <is>
          <t>Molly Tran</t>
        </is>
      </c>
    </row>
    <row r="19">
      <c r="A19" s="18" t="inlineStr">
        <is>
          <t>1.9.4</t>
        </is>
      </c>
      <c r="B19" s="26" t="inlineStr">
        <is>
          <t>Upload page and event details form</t>
        </is>
      </c>
      <c r="C19" s="18" t="inlineStr">
        <is>
          <t>No</t>
        </is>
      </c>
      <c r="D19" s="27" t="n">
        <v>4</v>
      </c>
      <c r="E19" s="18" t="inlineStr">
        <is>
          <t>Jennifer Sun</t>
        </is>
      </c>
    </row>
    <row r="20">
      <c r="A20" s="18" t="inlineStr">
        <is>
          <t>1.9.5</t>
        </is>
      </c>
      <c r="B20" s="26" t="inlineStr">
        <is>
          <t>Tests: A1 (293 rows, 79 NetIDs) and A2 (a re-upload adds nothing)</t>
        </is>
      </c>
      <c r="C20" s="18" t="inlineStr">
        <is>
          <t>No</t>
        </is>
      </c>
      <c r="D20" s="27" t="n">
        <v>2</v>
      </c>
      <c r="E20" s="18" t="inlineStr">
        <is>
          <t>Molly Tran</t>
        </is>
      </c>
    </row>
    <row r="21">
      <c r="A21" s="22" t="inlineStr">
        <is>
          <t>1.10</t>
        </is>
      </c>
      <c r="B21" s="23" t="inlineStr">
        <is>
          <t>US-02 Link the same person across events (UP-15, UP-16)</t>
        </is>
      </c>
      <c r="C21" s="18" t="inlineStr">
        <is>
          <t>Yes</t>
        </is>
      </c>
      <c r="D21" s="24">
        <f>SUM(D22:D23)</f>
        <v>4</v>
      </c>
      <c r="E21" s="18" t="n"/>
    </row>
    <row r="22">
      <c r="A22" s="18" t="inlineStr">
        <is>
          <t>1.10.1</t>
        </is>
      </c>
      <c r="B22" s="26" t="inlineStr">
        <is>
          <t>Identity linker (NetID, then email) and data-quality flags</t>
        </is>
      </c>
      <c r="C22" s="18" t="inlineStr">
        <is>
          <t>No</t>
        </is>
      </c>
      <c r="D22" s="27" t="n">
        <v>3</v>
      </c>
      <c r="E22" s="18" t="inlineStr">
        <is>
          <t>Molly Tran</t>
        </is>
      </c>
    </row>
    <row r="23">
      <c r="A23" s="18" t="inlineStr">
        <is>
          <t>1.10.2</t>
        </is>
      </c>
      <c r="B23" s="26" t="inlineStr">
        <is>
          <t>Tests for the linker cases</t>
        </is>
      </c>
      <c r="C23" s="18" t="inlineStr">
        <is>
          <t>No</t>
        </is>
      </c>
      <c r="D23" s="27" t="n">
        <v>1</v>
      </c>
      <c r="E23" s="18" t="inlineStr">
        <is>
          <t>Molly Tran</t>
        </is>
      </c>
    </row>
    <row r="24">
      <c r="A24" s="22" t="inlineStr">
        <is>
          <t>1.11</t>
        </is>
      </c>
      <c r="B24" s="23" t="inlineStr">
        <is>
          <t>US-03 Ask a question and see the SQL and the table (CH-01 – CH-22)</t>
        </is>
      </c>
      <c r="C24" s="18" t="inlineStr">
        <is>
          <t>Yes</t>
        </is>
      </c>
      <c r="D24" s="24">
        <f>SUM(D25:D29)</f>
        <v>13</v>
      </c>
      <c r="E24" s="18" t="n"/>
    </row>
    <row r="25">
      <c r="A25" s="18" t="inlineStr">
        <is>
          <t>1.11.1</t>
        </is>
      </c>
      <c r="B25" s="26" t="inlineStr">
        <is>
          <t>Chat graph and prompt, with follow-ups, clarifying questions and repairs</t>
        </is>
      </c>
      <c r="C25" s="18" t="inlineStr">
        <is>
          <t>No</t>
        </is>
      </c>
      <c r="D25" s="27" t="n">
        <v>4</v>
      </c>
      <c r="E25" s="18" t="inlineStr">
        <is>
          <t>Zhenyu Song</t>
        </is>
      </c>
    </row>
    <row r="26">
      <c r="A26" s="18" t="inlineStr">
        <is>
          <t>1.11.2</t>
        </is>
      </c>
      <c r="B26" s="26" t="inlineStr">
        <is>
          <t>SQL guard: one read-only SELECT on one view</t>
        </is>
      </c>
      <c r="C26" s="18" t="inlineStr">
        <is>
          <t>No</t>
        </is>
      </c>
      <c r="D26" s="27" t="n">
        <v>2</v>
      </c>
      <c r="E26" s="18" t="inlineStr">
        <is>
          <t>Zhenyu Song</t>
        </is>
      </c>
    </row>
    <row r="27">
      <c r="A27" s="18" t="inlineStr">
        <is>
          <t>1.11.3</t>
        </is>
      </c>
      <c r="B27" s="26" t="inlineStr">
        <is>
          <t>Read-only database view and role</t>
        </is>
      </c>
      <c r="C27" s="18" t="inlineStr">
        <is>
          <t>No</t>
        </is>
      </c>
      <c r="D27" s="27" t="n">
        <v>1</v>
      </c>
      <c r="E27" s="18" t="inlineStr">
        <is>
          <t>Brandon Lau</t>
        </is>
      </c>
    </row>
    <row r="28">
      <c r="A28" s="18" t="inlineStr">
        <is>
          <t>1.11.4</t>
        </is>
      </c>
      <c r="B28" s="26" t="inlineStr">
        <is>
          <t>Chat page: question box, progress steps, answer card</t>
        </is>
      </c>
      <c r="C28" s="18" t="inlineStr">
        <is>
          <t>No</t>
        </is>
      </c>
      <c r="D28" s="27" t="n">
        <v>4</v>
      </c>
      <c r="E28" s="18" t="inlineStr">
        <is>
          <t>Jennifer Sun</t>
        </is>
      </c>
    </row>
    <row r="29">
      <c r="A29" s="18" t="inlineStr">
        <is>
          <t>1.11.5</t>
        </is>
      </c>
      <c r="B29" s="26" t="inlineStr">
        <is>
          <t>Tests: A6 privacy and A8 harmful SQL</t>
        </is>
      </c>
      <c r="C29" s="18" t="inlineStr">
        <is>
          <t>No</t>
        </is>
      </c>
      <c r="D29" s="27" t="n">
        <v>2</v>
      </c>
      <c r="E29" s="18" t="inlineStr">
        <is>
          <t>Zhenyu Song</t>
        </is>
      </c>
    </row>
    <row r="30">
      <c r="A30" s="22" t="inlineStr">
        <is>
          <t>1.12</t>
        </is>
      </c>
      <c r="B30" s="23" t="inlineStr">
        <is>
          <t>US-04 Manage AI models and result sharing (ST-01 – ST-10, CH-08, CH-09)</t>
        </is>
      </c>
      <c r="C30" s="18" t="inlineStr">
        <is>
          <t>Yes</t>
        </is>
      </c>
      <c r="D30" s="24">
        <f>SUM(D31:D32)</f>
        <v>5</v>
      </c>
      <c r="E30" s="18" t="n"/>
    </row>
    <row r="31">
      <c r="A31" s="18" t="inlineStr">
        <is>
          <t>1.12.1</t>
        </is>
      </c>
      <c r="B31" s="26" t="inlineStr">
        <is>
          <t>Encrypted AI model profiles, Test connection, sharing rules</t>
        </is>
      </c>
      <c r="C31" s="18" t="inlineStr">
        <is>
          <t>No</t>
        </is>
      </c>
      <c r="D31" s="27" t="n">
        <v>3</v>
      </c>
      <c r="E31" s="18" t="inlineStr">
        <is>
          <t>Zhenyu Song</t>
        </is>
      </c>
    </row>
    <row r="32">
      <c r="A32" s="18" t="inlineStr">
        <is>
          <t>1.12.2</t>
        </is>
      </c>
      <c r="B32" s="26" t="inlineStr">
        <is>
          <t>Settings page and the share switch</t>
        </is>
      </c>
      <c r="C32" s="18" t="inlineStr">
        <is>
          <t>No</t>
        </is>
      </c>
      <c r="D32" s="27" t="n">
        <v>2</v>
      </c>
      <c r="E32" s="18" t="inlineStr">
        <is>
          <t>Jennifer Sun</t>
        </is>
      </c>
    </row>
    <row r="33">
      <c r="A33" s="22" t="inlineStr">
        <is>
          <t>1.13</t>
        </is>
      </c>
      <c r="B33" s="23" t="inlineStr">
        <is>
          <t>US-05 Download results and see what was imported (CH-05, CH-06, DS-01 – DS-05)</t>
        </is>
      </c>
      <c r="C33" s="18" t="inlineStr">
        <is>
          <t>Yes</t>
        </is>
      </c>
      <c r="D33" s="24">
        <f>SUM(D34:D35)</f>
        <v>4</v>
      </c>
      <c r="E33" s="18" t="n"/>
    </row>
    <row r="34">
      <c r="A34" s="18" t="inlineStr">
        <is>
          <t>1.13.1</t>
        </is>
      </c>
      <c r="B34" s="26" t="inlineStr">
        <is>
          <t>Excel and CSV export with a formula guard; full-dataset export</t>
        </is>
      </c>
      <c r="C34" s="18" t="inlineStr">
        <is>
          <t>No</t>
        </is>
      </c>
      <c r="D34" s="27" t="n">
        <v>2</v>
      </c>
      <c r="E34" s="18" t="inlineStr">
        <is>
          <t>Molly Tran</t>
        </is>
      </c>
    </row>
    <row r="35">
      <c r="A35" s="18" t="inlineStr">
        <is>
          <t>1.13.2</t>
        </is>
      </c>
      <c r="B35" s="26" t="inlineStr">
        <is>
          <t>Dataset page and download buttons</t>
        </is>
      </c>
      <c r="C35" s="18" t="inlineStr">
        <is>
          <t>No</t>
        </is>
      </c>
      <c r="D35" s="27" t="n">
        <v>2</v>
      </c>
      <c r="E35" s="18" t="inlineStr">
        <is>
          <t>Jennifer Sun</t>
        </is>
      </c>
    </row>
    <row r="36">
      <c r="A36" s="22" t="inlineStr">
        <is>
          <t>1.14</t>
        </is>
      </c>
      <c r="B36" s="23" t="inlineStr">
        <is>
          <t>MVP verification against the MOV (A1 – A10)</t>
        </is>
      </c>
      <c r="C36" s="18" t="inlineStr">
        <is>
          <t>Yes</t>
        </is>
      </c>
      <c r="D36" s="24">
        <f>SUM(D37:D39)</f>
        <v>8</v>
      </c>
      <c r="E36" s="18" t="n"/>
    </row>
    <row r="37">
      <c r="A37" s="18" t="inlineStr">
        <is>
          <t>1.14.1</t>
        </is>
      </c>
      <c r="B37" s="26" t="inlineStr">
        <is>
          <t>Chatbot benchmark: 20 questions and 10 held-out</t>
        </is>
      </c>
      <c r="C37" s="18" t="inlineStr">
        <is>
          <t>No</t>
        </is>
      </c>
      <c r="D37" s="27" t="n">
        <v>2</v>
      </c>
      <c r="E37" s="18" t="inlineStr">
        <is>
          <t>Zhenyu Song</t>
        </is>
      </c>
    </row>
    <row r="38">
      <c r="A38" s="18" t="inlineStr">
        <is>
          <t>1.14.2</t>
        </is>
      </c>
      <c r="B38" s="26" t="inlineStr">
        <is>
          <t>Acceptance run and question-to-Excel timing (A10)</t>
        </is>
      </c>
      <c r="C38" s="18" t="inlineStr">
        <is>
          <t>No</t>
        </is>
      </c>
      <c r="D38" s="27" t="n">
        <v>2</v>
      </c>
      <c r="E38" s="18" t="inlineStr">
        <is>
          <t>Brandon Lau</t>
        </is>
      </c>
    </row>
    <row r="39">
      <c r="A39" s="18" t="inlineStr">
        <is>
          <t>1.14.3</t>
        </is>
      </c>
      <c r="B39" s="26" t="inlineStr">
        <is>
          <t>Walk the user stories and the sponsor's Oct 21 requests</t>
        </is>
      </c>
      <c r="C39" s="18" t="inlineStr">
        <is>
          <t>No</t>
        </is>
      </c>
      <c r="D39" s="27" t="n">
        <v>4</v>
      </c>
      <c r="E39" s="18" t="inlineStr">
        <is>
          <t>Brandon Lau</t>
        </is>
      </c>
    </row>
    <row r="40">
      <c r="A40" s="22" t="inlineStr">
        <is>
          <t>1.15</t>
        </is>
      </c>
      <c r="B40" s="23" t="inlineStr">
        <is>
          <t>Coordination and sponsor communication</t>
        </is>
      </c>
      <c r="C40" s="18" t="inlineStr">
        <is>
          <t>No</t>
        </is>
      </c>
      <c r="D40" s="24">
        <f>SUM(D41:D44)</f>
        <v>19</v>
      </c>
      <c r="E40" s="18" t="n"/>
    </row>
    <row r="41">
      <c r="A41" s="18" t="inlineStr">
        <is>
          <t>1.15.1</t>
        </is>
      </c>
      <c r="B41" s="26" t="inlineStr">
        <is>
          <t>Sponsor meetings (Oct 21, Oct 28)</t>
        </is>
      </c>
      <c r="C41" s="18" t="inlineStr">
        <is>
          <t>No</t>
        </is>
      </c>
      <c r="D41" s="27" t="n">
        <v>8</v>
      </c>
      <c r="E41" s="18" t="inlineStr">
        <is>
          <t>All team</t>
        </is>
      </c>
    </row>
    <row r="42">
      <c r="A42" s="18" t="inlineStr">
        <is>
          <t>1.15.2</t>
        </is>
      </c>
      <c r="B42" s="26" t="inlineStr">
        <is>
          <t>Verify the ZotGPT gateway (by Oct 28)</t>
        </is>
      </c>
      <c r="C42" s="18" t="inlineStr">
        <is>
          <t>No</t>
        </is>
      </c>
      <c r="D42" s="27" t="n">
        <v>2</v>
      </c>
      <c r="E42" s="18" t="inlineStr">
        <is>
          <t>Zhenyu Song</t>
        </is>
      </c>
    </row>
    <row r="43">
      <c r="A43" s="18" t="inlineStr">
        <is>
          <t>1.15.3</t>
        </is>
      </c>
      <c r="B43" s="26" t="inlineStr">
        <is>
          <t>Send the sponsor the LLM credit request</t>
        </is>
      </c>
      <c r="C43" s="18" t="inlineStr">
        <is>
          <t>No</t>
        </is>
      </c>
      <c r="D43" s="27" t="n">
        <v>1</v>
      </c>
      <c r="E43" s="18" t="inlineStr">
        <is>
          <t>Brandon Lau</t>
        </is>
      </c>
    </row>
    <row r="44">
      <c r="A44" s="18" t="inlineStr">
        <is>
          <t>1.15.4</t>
        </is>
      </c>
      <c r="B44" s="26" t="inlineStr">
        <is>
          <t>Code walkthrough: each owner reviews their module</t>
        </is>
      </c>
      <c r="C44" s="18" t="inlineStr">
        <is>
          <t>No</t>
        </is>
      </c>
      <c r="D44" s="27" t="n">
        <v>8</v>
      </c>
      <c r="E44" s="18" t="inlineStr">
        <is>
          <t>All team</t>
        </is>
      </c>
    </row>
    <row r="45">
      <c r="A45" s="22" t="inlineStr">
        <is>
          <t>1.16</t>
        </is>
      </c>
      <c r="B45" s="23" t="inlineStr">
        <is>
          <t>Capstone midterm report and presentation (Oct 26)</t>
        </is>
      </c>
      <c r="C45" s="18" t="inlineStr">
        <is>
          <t>Yes</t>
        </is>
      </c>
      <c r="D45" s="24">
        <f>SUM(D46:D47)</f>
        <v>16</v>
      </c>
      <c r="E45" s="18" t="n"/>
    </row>
    <row r="46">
      <c r="A46" s="18" t="inlineStr">
        <is>
          <t>1.16.1</t>
        </is>
      </c>
      <c r="B46" s="26" t="inlineStr">
        <is>
          <t>Report sections</t>
        </is>
      </c>
      <c r="C46" s="18" t="inlineStr">
        <is>
          <t>No</t>
        </is>
      </c>
      <c r="D46" s="27" t="n">
        <v>8</v>
      </c>
      <c r="E46" s="18" t="inlineStr">
        <is>
          <t>All team</t>
        </is>
      </c>
    </row>
    <row r="47">
      <c r="A47" s="18" t="inlineStr">
        <is>
          <t>1.16.2</t>
        </is>
      </c>
      <c r="B47" s="26" t="inlineStr">
        <is>
          <t>Slides and rehearsal</t>
        </is>
      </c>
      <c r="C47" s="18" t="inlineStr">
        <is>
          <t>No</t>
        </is>
      </c>
      <c r="D47" s="27" t="n">
        <v>8</v>
      </c>
      <c r="E47" s="18" t="inlineStr">
        <is>
          <t>All team</t>
        </is>
      </c>
    </row>
    <row r="48">
      <c r="A48" s="22" t="inlineStr">
        <is>
          <t>1.17</t>
        </is>
      </c>
      <c r="B48" s="23" t="inlineStr">
        <is>
          <t>SWE 277P Assignment 5: Work Breakdown Structure (Oct 27)</t>
        </is>
      </c>
      <c r="C48" s="18" t="inlineStr">
        <is>
          <t>Yes</t>
        </is>
      </c>
      <c r="D48" s="24">
        <f>SUM(D49:D51)</f>
        <v>5</v>
      </c>
      <c r="E48" s="18" t="n"/>
    </row>
    <row r="49">
      <c r="A49" s="18" t="inlineStr">
        <is>
          <t>1.17.1</t>
        </is>
      </c>
      <c r="B49" s="26" t="inlineStr">
        <is>
          <t>WBS and estimates</t>
        </is>
      </c>
      <c r="C49" s="18" t="inlineStr">
        <is>
          <t>No</t>
        </is>
      </c>
      <c r="D49" s="27" t="n">
        <v>3</v>
      </c>
      <c r="E49" s="18" t="inlineStr">
        <is>
          <t>Brandon Lau</t>
        </is>
      </c>
    </row>
    <row r="50">
      <c r="A50" s="18" t="inlineStr">
        <is>
          <t>1.17.2</t>
        </is>
      </c>
      <c r="B50" s="26" t="inlineStr">
        <is>
          <t>Project description and MOV update</t>
        </is>
      </c>
      <c r="C50" s="18" t="inlineStr">
        <is>
          <t>No</t>
        </is>
      </c>
      <c r="D50" s="27" t="n">
        <v>1</v>
      </c>
      <c r="E50" s="18" t="inlineStr">
        <is>
          <t>Molly Tran</t>
        </is>
      </c>
    </row>
    <row r="51">
      <c r="A51" s="18" t="inlineStr">
        <is>
          <t>1.17.3</t>
        </is>
      </c>
      <c r="B51" s="26" t="inlineStr">
        <is>
          <t>Review and submit</t>
        </is>
      </c>
      <c r="C51" s="18" t="inlineStr">
        <is>
          <t>No</t>
        </is>
      </c>
      <c r="D51" s="27" t="n">
        <v>1</v>
      </c>
      <c r="E51" s="18" t="inlineStr">
        <is>
          <t>Jennifer Sun</t>
        </is>
      </c>
    </row>
    <row r="52">
      <c r="A52" s="22" t="inlineStr">
        <is>
          <t>1.18</t>
        </is>
      </c>
      <c r="B52" s="25" t="inlineStr">
        <is>
          <t>Milestone: MVP passes A1–A10 except A7 (Oct 22); midterm delivered</t>
        </is>
      </c>
      <c r="C52" s="18" t="inlineStr">
        <is>
          <t>No</t>
        </is>
      </c>
      <c r="D52" s="24" t="n">
        <v>0</v>
      </c>
      <c r="E52" s="18" t="n"/>
    </row>
    <row r="53">
      <c r="A53" s="19" t="inlineStr">
        <is>
          <t>Sprint 2: Sponsor Demo and Backlog  |  Nov 3 – Nov 16  |  Planned</t>
        </is>
      </c>
      <c r="B53" s="20" t="n"/>
      <c r="C53" s="20" t="n"/>
      <c r="D53" s="20" t="n"/>
      <c r="E53" s="21" t="n"/>
    </row>
    <row r="54">
      <c r="A54" s="22" t="inlineStr">
        <is>
          <t>1.19</t>
        </is>
      </c>
      <c r="B54" s="23" t="inlineStr">
        <is>
          <t>Mid-project demo to the sponsor (week 7)</t>
        </is>
      </c>
      <c r="C54" s="18" t="inlineStr">
        <is>
          <t>Yes</t>
        </is>
      </c>
      <c r="D54" s="24">
        <f>SUM(D55:D56)</f>
        <v>6</v>
      </c>
      <c r="E54" s="18" t="n"/>
    </row>
    <row r="55">
      <c r="A55" s="18" t="inlineStr">
        <is>
          <t>1.19.1</t>
        </is>
      </c>
      <c r="B55" s="26" t="inlineStr">
        <is>
          <t>Demo preparation and dry run</t>
        </is>
      </c>
      <c r="C55" s="18" t="inlineStr">
        <is>
          <t>No</t>
        </is>
      </c>
      <c r="D55" s="27" t="n">
        <v>2</v>
      </c>
      <c r="E55" s="18" t="inlineStr">
        <is>
          <t>Brandon Lau</t>
        </is>
      </c>
    </row>
    <row r="56">
      <c r="A56" s="18" t="inlineStr">
        <is>
          <t>1.19.2</t>
        </is>
      </c>
      <c r="B56" s="26" t="inlineStr">
        <is>
          <t>Demo and feedback</t>
        </is>
      </c>
      <c r="C56" s="18" t="inlineStr">
        <is>
          <t>No</t>
        </is>
      </c>
      <c r="D56" s="27" t="n">
        <v>4</v>
      </c>
      <c r="E56" s="18" t="inlineStr">
        <is>
          <t>All team</t>
        </is>
      </c>
    </row>
    <row r="57">
      <c r="A57" s="22" t="inlineStr">
        <is>
          <t>1.20</t>
        </is>
      </c>
      <c r="B57" s="23" t="inlineStr">
        <is>
          <t>B4 Warn when an event is uploaded twice; delete a committed import</t>
        </is>
      </c>
      <c r="C57" s="18" t="inlineStr">
        <is>
          <t>Yes</t>
        </is>
      </c>
      <c r="D57" s="24">
        <f>SUM(D58:D59)</f>
        <v>7</v>
      </c>
      <c r="E57" s="18" t="n"/>
    </row>
    <row r="58">
      <c r="A58" s="18" t="inlineStr">
        <is>
          <t>1.20.1</t>
        </is>
      </c>
      <c r="B58" s="26" t="inlineStr">
        <is>
          <t>Detect an existing event; replace or delete its rows</t>
        </is>
      </c>
      <c r="C58" s="18" t="inlineStr">
        <is>
          <t>No</t>
        </is>
      </c>
      <c r="D58" s="27" t="n">
        <v>4</v>
      </c>
      <c r="E58" s="18" t="inlineStr">
        <is>
          <t>Molly Tran</t>
        </is>
      </c>
    </row>
    <row r="59">
      <c r="A59" s="18" t="inlineStr">
        <is>
          <t>1.20.2</t>
        </is>
      </c>
      <c r="B59" s="26" t="inlineStr">
        <is>
          <t>Warning in the upload preview; delete button</t>
        </is>
      </c>
      <c r="C59" s="18" t="inlineStr">
        <is>
          <t>No</t>
        </is>
      </c>
      <c r="D59" s="27" t="n">
        <v>3</v>
      </c>
      <c r="E59" s="18" t="inlineStr">
        <is>
          <t>Jennifer Sun</t>
        </is>
      </c>
    </row>
    <row r="60">
      <c r="A60" s="22" t="inlineStr">
        <is>
          <t>1.21</t>
        </is>
      </c>
      <c r="B60" s="23" t="inlineStr">
        <is>
          <t>B1 Delete a conversation and set a retention period</t>
        </is>
      </c>
      <c r="C60" s="18" t="inlineStr">
        <is>
          <t>Yes</t>
        </is>
      </c>
      <c r="D60" s="24">
        <f>SUM(D61:D63)</f>
        <v>6</v>
      </c>
      <c r="E60" s="18" t="n"/>
    </row>
    <row r="61">
      <c r="A61" s="18" t="inlineStr">
        <is>
          <t>1.21.1</t>
        </is>
      </c>
      <c r="B61" s="26" t="inlineStr">
        <is>
          <t>Delete API and cleanup job</t>
        </is>
      </c>
      <c r="C61" s="18" t="inlineStr">
        <is>
          <t>No</t>
        </is>
      </c>
      <c r="D61" s="27" t="n">
        <v>3</v>
      </c>
      <c r="E61" s="18" t="inlineStr">
        <is>
          <t>Zhenyu Song</t>
        </is>
      </c>
    </row>
    <row r="62">
      <c r="A62" s="18" t="inlineStr">
        <is>
          <t>1.21.2</t>
        </is>
      </c>
      <c r="B62" s="26" t="inlineStr">
        <is>
          <t>Retention setting table</t>
        </is>
      </c>
      <c r="C62" s="18" t="inlineStr">
        <is>
          <t>No</t>
        </is>
      </c>
      <c r="D62" s="27" t="n">
        <v>1</v>
      </c>
      <c r="E62" s="18" t="inlineStr">
        <is>
          <t>Brandon Lau</t>
        </is>
      </c>
    </row>
    <row r="63">
      <c r="A63" s="18" t="inlineStr">
        <is>
          <t>1.21.3</t>
        </is>
      </c>
      <c r="B63" s="26" t="inlineStr">
        <is>
          <t>Delete button and retention choice</t>
        </is>
      </c>
      <c r="C63" s="18" t="inlineStr">
        <is>
          <t>No</t>
        </is>
      </c>
      <c r="D63" s="27" t="n">
        <v>2</v>
      </c>
      <c r="E63" s="18" t="inlineStr">
        <is>
          <t>Jennifer Sun</t>
        </is>
      </c>
    </row>
    <row r="64">
      <c r="A64" s="22" t="inlineStr">
        <is>
          <t>1.22</t>
        </is>
      </c>
      <c r="B64" s="23" t="inlineStr">
        <is>
          <t>B2 Downloads page for AI results</t>
        </is>
      </c>
      <c r="C64" s="18" t="inlineStr">
        <is>
          <t>Yes</t>
        </is>
      </c>
      <c r="D64" s="24">
        <f>SUM(D65:D66)</f>
        <v>3</v>
      </c>
      <c r="E64" s="18" t="n"/>
    </row>
    <row r="65">
      <c r="A65" s="18" t="inlineStr">
        <is>
          <t>1.22.1</t>
        </is>
      </c>
      <c r="B65" s="26" t="inlineStr">
        <is>
          <t>API that lists answers</t>
        </is>
      </c>
      <c r="C65" s="18" t="inlineStr">
        <is>
          <t>No</t>
        </is>
      </c>
      <c r="D65" s="27" t="n">
        <v>1</v>
      </c>
      <c r="E65" s="18" t="inlineStr">
        <is>
          <t>Zhenyu Song</t>
        </is>
      </c>
    </row>
    <row r="66">
      <c r="A66" s="18" t="inlineStr">
        <is>
          <t>1.22.2</t>
        </is>
      </c>
      <c r="B66" s="26" t="inlineStr">
        <is>
          <t>Downloads page</t>
        </is>
      </c>
      <c r="C66" s="18" t="inlineStr">
        <is>
          <t>No</t>
        </is>
      </c>
      <c r="D66" s="27" t="n">
        <v>2</v>
      </c>
      <c r="E66" s="18" t="inlineStr">
        <is>
          <t>Jennifer Sun</t>
        </is>
      </c>
    </row>
    <row r="67">
      <c r="A67" s="22" t="inlineStr">
        <is>
          <t>1.23</t>
        </is>
      </c>
      <c r="B67" s="23" t="inlineStr">
        <is>
          <t>B3 Insights button on the Dataset page</t>
        </is>
      </c>
      <c r="C67" s="18" t="inlineStr">
        <is>
          <t>Yes</t>
        </is>
      </c>
      <c r="D67" s="24">
        <f>SUM(D68:D69)</f>
        <v>4</v>
      </c>
      <c r="E67" s="18" t="n"/>
    </row>
    <row r="68">
      <c r="A68" s="18" t="inlineStr">
        <is>
          <t>1.23.1</t>
        </is>
      </c>
      <c r="B68" s="26" t="inlineStr">
        <is>
          <t>Preset questions; re-run the benchmark</t>
        </is>
      </c>
      <c r="C68" s="18" t="inlineStr">
        <is>
          <t>No</t>
        </is>
      </c>
      <c r="D68" s="27" t="n">
        <v>3</v>
      </c>
      <c r="E68" s="18" t="inlineStr">
        <is>
          <t>Zhenyu Song</t>
        </is>
      </c>
    </row>
    <row r="69">
      <c r="A69" s="18" t="inlineStr">
        <is>
          <t>1.23.2</t>
        </is>
      </c>
      <c r="B69" s="26" t="inlineStr">
        <is>
          <t>Insights button</t>
        </is>
      </c>
      <c r="C69" s="18" t="inlineStr">
        <is>
          <t>No</t>
        </is>
      </c>
      <c r="D69" s="27" t="n">
        <v>1</v>
      </c>
      <c r="E69" s="18" t="inlineStr">
        <is>
          <t>Jennifer Sun</t>
        </is>
      </c>
    </row>
    <row r="70">
      <c r="A70" s="22" t="inlineStr">
        <is>
          <t>1.24</t>
        </is>
      </c>
      <c r="B70" s="23" t="inlineStr">
        <is>
          <t>Fixes from the sponsor's demo feedback (placeholder)</t>
        </is>
      </c>
      <c r="C70" s="18" t="inlineStr">
        <is>
          <t>Yes</t>
        </is>
      </c>
      <c r="D70" s="24" t="n">
        <v>8</v>
      </c>
      <c r="E70" s="18" t="inlineStr">
        <is>
          <t>All team</t>
        </is>
      </c>
    </row>
    <row r="71">
      <c r="A71" s="22" t="inlineStr">
        <is>
          <t>1.25</t>
        </is>
      </c>
      <c r="B71" s="23" t="inlineStr">
        <is>
          <t>Sprint 2 planning and tracking</t>
        </is>
      </c>
      <c r="C71" s="18" t="inlineStr">
        <is>
          <t>No</t>
        </is>
      </c>
      <c r="D71" s="24">
        <f>SUM(D72:D74)</f>
        <v>13</v>
      </c>
      <c r="E71" s="18" t="n"/>
    </row>
    <row r="72">
      <c r="A72" s="18" t="inlineStr">
        <is>
          <t>1.25.1</t>
        </is>
      </c>
      <c r="B72" s="26" t="inlineStr">
        <is>
          <t>Record Sprint 1 actual hours; plan Sprint 2</t>
        </is>
      </c>
      <c r="C72" s="18" t="inlineStr">
        <is>
          <t>No</t>
        </is>
      </c>
      <c r="D72" s="27" t="n">
        <v>2</v>
      </c>
      <c r="E72" s="18" t="inlineStr">
        <is>
          <t>Brandon Lau</t>
        </is>
      </c>
    </row>
    <row r="73">
      <c r="A73" s="18" t="inlineStr">
        <is>
          <t>1.25.2</t>
        </is>
      </c>
      <c r="B73" s="26" t="inlineStr">
        <is>
          <t>Regression walk and user guide update</t>
        </is>
      </c>
      <c r="C73" s="18" t="inlineStr">
        <is>
          <t>No</t>
        </is>
      </c>
      <c r="D73" s="27" t="n">
        <v>3</v>
      </c>
      <c r="E73" s="18" t="inlineStr">
        <is>
          <t>Molly Tran</t>
        </is>
      </c>
    </row>
    <row r="74">
      <c r="A74" s="18" t="inlineStr">
        <is>
          <t>1.25.3</t>
        </is>
      </c>
      <c r="B74" s="26" t="inlineStr">
        <is>
          <t>Weekly team syncs</t>
        </is>
      </c>
      <c r="C74" s="18" t="inlineStr">
        <is>
          <t>No</t>
        </is>
      </c>
      <c r="D74" s="27" t="n">
        <v>8</v>
      </c>
      <c r="E74" s="18" t="inlineStr">
        <is>
          <t>All team</t>
        </is>
      </c>
    </row>
    <row r="75">
      <c r="A75" s="22" t="inlineStr">
        <is>
          <t>1.26</t>
        </is>
      </c>
      <c r="B75" s="25" t="inlineStr">
        <is>
          <t>Milestone: sponsor demo given; B1–B4 done</t>
        </is>
      </c>
      <c r="C75" s="18" t="inlineStr">
        <is>
          <t>No</t>
        </is>
      </c>
      <c r="D75" s="24" t="n">
        <v>0</v>
      </c>
      <c r="E75" s="18" t="n"/>
    </row>
    <row r="76">
      <c r="A76" s="19" t="inlineStr">
        <is>
          <t>Sprint 3: Handoff and Final Delivery  |  Nov 17 – Dec 7  |  Planned</t>
        </is>
      </c>
      <c r="B76" s="20" t="n"/>
      <c r="C76" s="20" t="n"/>
      <c r="D76" s="20" t="n"/>
      <c r="E76" s="21" t="n"/>
    </row>
    <row r="77">
      <c r="A77" s="22" t="inlineStr">
        <is>
          <t>1.27</t>
        </is>
      </c>
      <c r="B77" s="23" t="inlineStr">
        <is>
          <t>Staff login (acceptance test A7)</t>
        </is>
      </c>
      <c r="C77" s="18" t="inlineStr">
        <is>
          <t>Yes</t>
        </is>
      </c>
      <c r="D77" s="24">
        <f>SUM(D78:D79)</f>
        <v>6</v>
      </c>
      <c r="E77" s="18" t="n"/>
    </row>
    <row r="78">
      <c r="A78" s="18" t="inlineStr">
        <is>
          <t>1.27.1</t>
        </is>
      </c>
      <c r="B78" s="26" t="inlineStr">
        <is>
          <t>Login backend and the A7 test</t>
        </is>
      </c>
      <c r="C78" s="18" t="inlineStr">
        <is>
          <t>No</t>
        </is>
      </c>
      <c r="D78" s="27" t="n">
        <v>4</v>
      </c>
      <c r="E78" s="18" t="inlineStr">
        <is>
          <t>Molly Tran</t>
        </is>
      </c>
    </row>
    <row r="79">
      <c r="A79" s="18" t="inlineStr">
        <is>
          <t>1.27.2</t>
        </is>
      </c>
      <c r="B79" s="26" t="inlineStr">
        <is>
          <t>Login page</t>
        </is>
      </c>
      <c r="C79" s="18" t="inlineStr">
        <is>
          <t>No</t>
        </is>
      </c>
      <c r="D79" s="27" t="n">
        <v>2</v>
      </c>
      <c r="E79" s="18" t="inlineStr">
        <is>
          <t>Jennifer Sun</t>
        </is>
      </c>
    </row>
    <row r="80">
      <c r="A80" s="22" t="inlineStr">
        <is>
          <t>1.28</t>
        </is>
      </c>
      <c r="B80" s="23" t="inlineStr">
        <is>
          <t>CI and installation at the GPSRC</t>
        </is>
      </c>
      <c r="C80" s="18" t="inlineStr">
        <is>
          <t>Yes</t>
        </is>
      </c>
      <c r="D80" s="24">
        <f>SUM(D81:D82)</f>
        <v>5</v>
      </c>
      <c r="E80" s="18" t="n"/>
    </row>
    <row r="81">
      <c r="A81" s="18" t="inlineStr">
        <is>
          <t>1.28.1</t>
        </is>
      </c>
      <c r="B81" s="26" t="inlineStr">
        <is>
          <t>GitHub Actions CI</t>
        </is>
      </c>
      <c r="C81" s="18" t="inlineStr">
        <is>
          <t>No</t>
        </is>
      </c>
      <c r="D81" s="27" t="n">
        <v>3</v>
      </c>
      <c r="E81" s="18" t="inlineStr">
        <is>
          <t>Brandon Lau</t>
        </is>
      </c>
    </row>
    <row r="82">
      <c r="A82" s="18" t="inlineStr">
        <is>
          <t>1.28.2</t>
        </is>
      </c>
      <c r="B82" s="26" t="inlineStr">
        <is>
          <t>Install the Hub on the GPSRC computer</t>
        </is>
      </c>
      <c r="C82" s="18" t="inlineStr">
        <is>
          <t>No</t>
        </is>
      </c>
      <c r="D82" s="27" t="n">
        <v>2</v>
      </c>
      <c r="E82" s="18" t="inlineStr">
        <is>
          <t>Brandon Lau</t>
        </is>
      </c>
    </row>
    <row r="83">
      <c r="A83" s="22" t="inlineStr">
        <is>
          <t>1.29</t>
        </is>
      </c>
      <c r="B83" s="23" t="inlineStr">
        <is>
          <t>Handoff documents and staff training</t>
        </is>
      </c>
      <c r="C83" s="18" t="inlineStr">
        <is>
          <t>Yes</t>
        </is>
      </c>
      <c r="D83" s="24">
        <f>SUM(D84:D85)</f>
        <v>5</v>
      </c>
      <c r="E83" s="18" t="n"/>
    </row>
    <row r="84">
      <c r="A84" s="18" t="inlineStr">
        <is>
          <t>1.29.1</t>
        </is>
      </c>
      <c r="B84" s="26" t="inlineStr">
        <is>
          <t>Update the handoff, setup and user guides</t>
        </is>
      </c>
      <c r="C84" s="18" t="inlineStr">
        <is>
          <t>No</t>
        </is>
      </c>
      <c r="D84" s="27" t="n">
        <v>3</v>
      </c>
      <c r="E84" s="18" t="inlineStr">
        <is>
          <t>Molly Tran</t>
        </is>
      </c>
    </row>
    <row r="85">
      <c r="A85" s="18" t="inlineStr">
        <is>
          <t>1.29.2</t>
        </is>
      </c>
      <c r="B85" s="26" t="inlineStr">
        <is>
          <t>Training session for GPSRC staff</t>
        </is>
      </c>
      <c r="C85" s="18" t="inlineStr">
        <is>
          <t>No</t>
        </is>
      </c>
      <c r="D85" s="27" t="n">
        <v>2</v>
      </c>
      <c r="E85" s="18" t="inlineStr">
        <is>
          <t>Zhenyu Song</t>
        </is>
      </c>
    </row>
    <row r="86">
      <c r="A86" s="22" t="inlineStr">
        <is>
          <t>1.30</t>
        </is>
      </c>
      <c r="B86" s="23" t="inlineStr">
        <is>
          <t>Final testing</t>
        </is>
      </c>
      <c r="C86" s="18" t="inlineStr">
        <is>
          <t>No</t>
        </is>
      </c>
      <c r="D86" s="24">
        <f>SUM(D87:D88)</f>
        <v>6</v>
      </c>
      <c r="E86" s="18" t="n"/>
    </row>
    <row r="87">
      <c r="A87" s="18" t="inlineStr">
        <is>
          <t>1.30.1</t>
        </is>
      </c>
      <c r="B87" s="26" t="inlineStr">
        <is>
          <t>Final acceptance run and benchmark</t>
        </is>
      </c>
      <c r="C87" s="18" t="inlineStr">
        <is>
          <t>No</t>
        </is>
      </c>
      <c r="D87" s="27" t="n">
        <v>2</v>
      </c>
      <c r="E87" s="18" t="inlineStr">
        <is>
          <t>Zhenyu Song</t>
        </is>
      </c>
    </row>
    <row r="88">
      <c r="A88" s="18" t="inlineStr">
        <is>
          <t>1.30.2</t>
        </is>
      </c>
      <c r="B88" s="26" t="inlineStr">
        <is>
          <t>Regression walk and bug fixes</t>
        </is>
      </c>
      <c r="C88" s="18" t="inlineStr">
        <is>
          <t>No</t>
        </is>
      </c>
      <c r="D88" s="27" t="n">
        <v>4</v>
      </c>
      <c r="E88" s="18" t="inlineStr">
        <is>
          <t>All team</t>
        </is>
      </c>
    </row>
    <row r="89">
      <c r="A89" s="22" t="inlineStr">
        <is>
          <t>1.31</t>
        </is>
      </c>
      <c r="B89" s="23" t="inlineStr">
        <is>
          <t>Final report, final demo (Dec 4) and Capstone Showcase (Dec 7)</t>
        </is>
      </c>
      <c r="C89" s="18" t="inlineStr">
        <is>
          <t>Yes</t>
        </is>
      </c>
      <c r="D89" s="24">
        <f>SUM(D90:D93)</f>
        <v>32</v>
      </c>
      <c r="E89" s="18" t="n"/>
    </row>
    <row r="90">
      <c r="A90" s="18" t="inlineStr">
        <is>
          <t>1.31.1</t>
        </is>
      </c>
      <c r="B90" s="26" t="inlineStr">
        <is>
          <t>Final report</t>
        </is>
      </c>
      <c r="C90" s="18" t="inlineStr">
        <is>
          <t>No</t>
        </is>
      </c>
      <c r="D90" s="27" t="n">
        <v>8</v>
      </c>
      <c r="E90" s="18" t="inlineStr">
        <is>
          <t>All team</t>
        </is>
      </c>
    </row>
    <row r="91">
      <c r="A91" s="18" t="inlineStr">
        <is>
          <t>1.31.2</t>
        </is>
      </c>
      <c r="B91" s="26" t="inlineStr">
        <is>
          <t>Final presentation and demo</t>
        </is>
      </c>
      <c r="C91" s="18" t="inlineStr">
        <is>
          <t>No</t>
        </is>
      </c>
      <c r="D91" s="27" t="n">
        <v>12</v>
      </c>
      <c r="E91" s="18" t="inlineStr">
        <is>
          <t>All team</t>
        </is>
      </c>
    </row>
    <row r="92">
      <c r="A92" s="18" t="inlineStr">
        <is>
          <t>1.31.3</t>
        </is>
      </c>
      <c r="B92" s="26" t="inlineStr">
        <is>
          <t>Capstone Showcase</t>
        </is>
      </c>
      <c r="C92" s="18" t="inlineStr">
        <is>
          <t>No</t>
        </is>
      </c>
      <c r="D92" s="27" t="n">
        <v>8</v>
      </c>
      <c r="E92" s="18" t="inlineStr">
        <is>
          <t>All team</t>
        </is>
      </c>
    </row>
    <row r="93">
      <c r="A93" s="18" t="inlineStr">
        <is>
          <t>1.31.4</t>
        </is>
      </c>
      <c r="B93" s="26" t="inlineStr">
        <is>
          <t>Peer evaluations</t>
        </is>
      </c>
      <c r="C93" s="18" t="inlineStr">
        <is>
          <t>No</t>
        </is>
      </c>
      <c r="D93" s="27" t="n">
        <v>4</v>
      </c>
      <c r="E93" s="18" t="inlineStr">
        <is>
          <t>All team</t>
        </is>
      </c>
    </row>
    <row r="94">
      <c r="A94" s="22" t="inlineStr">
        <is>
          <t>1.32</t>
        </is>
      </c>
      <c r="B94" s="23" t="inlineStr">
        <is>
          <t>Sprint 3 planning and meetings</t>
        </is>
      </c>
      <c r="C94" s="18" t="inlineStr">
        <is>
          <t>No</t>
        </is>
      </c>
      <c r="D94" s="24">
        <f>SUM(D95:D96)</f>
        <v>18</v>
      </c>
      <c r="E94" s="18" t="n"/>
    </row>
    <row r="95">
      <c r="A95" s="18" t="inlineStr">
        <is>
          <t>1.32.1</t>
        </is>
      </c>
      <c r="B95" s="26" t="inlineStr">
        <is>
          <t>Record Sprint 2 actual hours; plan Sprint 3</t>
        </is>
      </c>
      <c r="C95" s="18" t="inlineStr">
        <is>
          <t>No</t>
        </is>
      </c>
      <c r="D95" s="27" t="n">
        <v>2</v>
      </c>
      <c r="E95" s="18" t="inlineStr">
        <is>
          <t>Brandon Lau</t>
        </is>
      </c>
    </row>
    <row r="96">
      <c r="A96" s="18" t="inlineStr">
        <is>
          <t>1.32.2</t>
        </is>
      </c>
      <c r="B96" s="26" t="inlineStr">
        <is>
          <t>Weekly team syncs and sponsor meetings</t>
        </is>
      </c>
      <c r="C96" s="18" t="inlineStr">
        <is>
          <t>No</t>
        </is>
      </c>
      <c r="D96" s="27" t="n">
        <v>16</v>
      </c>
      <c r="E96" s="18" t="inlineStr">
        <is>
          <t>All team</t>
        </is>
      </c>
    </row>
    <row r="97">
      <c r="A97" s="22" t="inlineStr">
        <is>
          <t>1.33</t>
        </is>
      </c>
      <c r="B97" s="25" t="inlineStr">
        <is>
          <t>Milestone: MOV met and the Hub handed over (Dec 4); showcase (Dec 7)</t>
        </is>
      </c>
      <c r="C97" s="18" t="inlineStr">
        <is>
          <t>No</t>
        </is>
      </c>
      <c r="D97" s="24" t="n">
        <v>0</v>
      </c>
      <c r="E97" s="18" t="n"/>
    </row>
  </sheetData>
  <mergeCells count="4">
    <mergeCell ref="A11:E11"/>
    <mergeCell ref="A53:E53"/>
    <mergeCell ref="A76:E76"/>
    <mergeCell ref="A3:E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2026-10-26T00:18:53Z</dcterms:created>
  <dcterms:modified xsi:type="dcterms:W3CDTF">2026-10-26T00:18:53Z</dcterms:modified>
</cp:coreProperties>
</file>